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sa\OneDrive\Desktop\Gearbox Project\V2_Redesign\Excel\"/>
    </mc:Choice>
  </mc:AlternateContent>
  <xr:revisionPtr revIDLastSave="0" documentId="13_ncr:1_{8C1FB5E5-4559-48FD-95B8-9C964FB1E80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4" i="1" l="1"/>
  <c r="H114" i="1" s="1"/>
  <c r="F113" i="1"/>
  <c r="H113" i="1" s="1"/>
  <c r="F112" i="1"/>
  <c r="H112" i="1" s="1"/>
  <c r="F111" i="1"/>
  <c r="H111" i="1" s="1"/>
  <c r="F110" i="1"/>
  <c r="H110" i="1" s="1"/>
  <c r="F109" i="1"/>
  <c r="H109" i="1" s="1"/>
  <c r="F108" i="1"/>
  <c r="H108" i="1" s="1"/>
  <c r="F107" i="1"/>
  <c r="H107" i="1" s="1"/>
  <c r="F106" i="1"/>
  <c r="H106" i="1" s="1"/>
  <c r="F105" i="1"/>
  <c r="H105" i="1" s="1"/>
  <c r="F104" i="1"/>
  <c r="H104" i="1" s="1"/>
  <c r="F103" i="1"/>
  <c r="H103" i="1" s="1"/>
  <c r="F102" i="1"/>
  <c r="H102" i="1" s="1"/>
  <c r="F101" i="1"/>
  <c r="H101" i="1" s="1"/>
  <c r="F100" i="1"/>
  <c r="H100" i="1" s="1"/>
  <c r="F99" i="1"/>
  <c r="H99" i="1" s="1"/>
  <c r="F95" i="1"/>
  <c r="H95" i="1" s="1"/>
  <c r="F94" i="1"/>
  <c r="H94" i="1" s="1"/>
  <c r="F93" i="1"/>
  <c r="H93" i="1" s="1"/>
  <c r="F92" i="1"/>
  <c r="H92" i="1" s="1"/>
  <c r="F91" i="1"/>
  <c r="H91" i="1" s="1"/>
  <c r="F90" i="1"/>
  <c r="H90" i="1" s="1"/>
  <c r="F89" i="1"/>
  <c r="H89" i="1" s="1"/>
  <c r="F88" i="1"/>
  <c r="H88" i="1" s="1"/>
  <c r="F87" i="1"/>
  <c r="H87" i="1" s="1"/>
  <c r="F86" i="1"/>
  <c r="H86" i="1" s="1"/>
  <c r="F85" i="1"/>
  <c r="H85" i="1" s="1"/>
  <c r="F84" i="1"/>
  <c r="H84" i="1" s="1"/>
  <c r="F83" i="1"/>
  <c r="H83" i="1" s="1"/>
  <c r="F82" i="1"/>
  <c r="H82" i="1" s="1"/>
  <c r="F81" i="1"/>
  <c r="H81" i="1" s="1"/>
  <c r="F80" i="1"/>
  <c r="H80" i="1" s="1"/>
  <c r="F76" i="1"/>
  <c r="H76" i="1" s="1"/>
  <c r="F75" i="1"/>
  <c r="H75" i="1" s="1"/>
  <c r="F74" i="1"/>
  <c r="H74" i="1" s="1"/>
  <c r="F73" i="1"/>
  <c r="H73" i="1" s="1"/>
  <c r="F72" i="1"/>
  <c r="H72" i="1" s="1"/>
  <c r="F71" i="1"/>
  <c r="H71" i="1" s="1"/>
  <c r="F70" i="1"/>
  <c r="H70" i="1" s="1"/>
  <c r="F69" i="1"/>
  <c r="H69" i="1" s="1"/>
  <c r="F68" i="1"/>
  <c r="H68" i="1" s="1"/>
  <c r="F67" i="1"/>
  <c r="H67" i="1" s="1"/>
  <c r="F66" i="1"/>
  <c r="H66" i="1" s="1"/>
  <c r="F65" i="1"/>
  <c r="H65" i="1" s="1"/>
  <c r="F64" i="1"/>
  <c r="H64" i="1" s="1"/>
  <c r="F63" i="1"/>
  <c r="H63" i="1" s="1"/>
  <c r="F62" i="1"/>
  <c r="H62" i="1" s="1"/>
  <c r="F61" i="1"/>
  <c r="H61" i="1" s="1"/>
  <c r="F57" i="1"/>
  <c r="H57" i="1" s="1"/>
  <c r="F56" i="1"/>
  <c r="H56" i="1" s="1"/>
  <c r="F55" i="1"/>
  <c r="H55" i="1" s="1"/>
  <c r="F54" i="1"/>
  <c r="H54" i="1" s="1"/>
  <c r="F53" i="1"/>
  <c r="H53" i="1" s="1"/>
  <c r="F52" i="1"/>
  <c r="H52" i="1" s="1"/>
  <c r="F51" i="1"/>
  <c r="H51" i="1" s="1"/>
  <c r="F50" i="1"/>
  <c r="H50" i="1" s="1"/>
  <c r="F49" i="1"/>
  <c r="H49" i="1" s="1"/>
  <c r="F48" i="1"/>
  <c r="H48" i="1" s="1"/>
  <c r="F47" i="1"/>
  <c r="H47" i="1" s="1"/>
  <c r="F46" i="1"/>
  <c r="H46" i="1" s="1"/>
  <c r="F45" i="1"/>
  <c r="H45" i="1" s="1"/>
  <c r="F44" i="1"/>
  <c r="H44" i="1" s="1"/>
  <c r="F43" i="1"/>
  <c r="H43" i="1" s="1"/>
  <c r="F42" i="1"/>
  <c r="H42" i="1" s="1"/>
  <c r="F38" i="1"/>
  <c r="H38" i="1" s="1"/>
  <c r="F37" i="1"/>
  <c r="H37" i="1" s="1"/>
  <c r="F36" i="1"/>
  <c r="H36" i="1" s="1"/>
  <c r="F35" i="1"/>
  <c r="H35" i="1" s="1"/>
  <c r="F34" i="1"/>
  <c r="H34" i="1" s="1"/>
  <c r="F33" i="1"/>
  <c r="H33" i="1" s="1"/>
  <c r="F32" i="1"/>
  <c r="H32" i="1" s="1"/>
  <c r="F31" i="1"/>
  <c r="H31" i="1" s="1"/>
  <c r="F30" i="1"/>
  <c r="H30" i="1" s="1"/>
  <c r="F29" i="1"/>
  <c r="H29" i="1" s="1"/>
  <c r="F28" i="1"/>
  <c r="H28" i="1" s="1"/>
  <c r="F27" i="1"/>
  <c r="H27" i="1" s="1"/>
  <c r="F26" i="1"/>
  <c r="H26" i="1" s="1"/>
  <c r="F25" i="1"/>
  <c r="H25" i="1" s="1"/>
  <c r="F24" i="1"/>
  <c r="H24" i="1" s="1"/>
  <c r="F23" i="1"/>
  <c r="H23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4" i="1"/>
</calcChain>
</file>

<file path=xl/sharedStrings.xml><?xml version="1.0" encoding="utf-8"?>
<sst xmlns="http://schemas.openxmlformats.org/spreadsheetml/2006/main" count="210" uniqueCount="38">
  <si>
    <t>Input Shaft Reverse Gear</t>
  </si>
  <si>
    <t>feature</t>
  </si>
  <si>
    <t>location
[mm]</t>
  </si>
  <si>
    <t>Mxy
[Nm]</t>
  </si>
  <si>
    <t>Mxz
[Nm]</t>
  </si>
  <si>
    <t>Mmax
[Nm]</t>
  </si>
  <si>
    <t>Tmax
[Nm]</t>
  </si>
  <si>
    <t>Ma
[Nm]</t>
  </si>
  <si>
    <t>Mm
[Nm]</t>
  </si>
  <si>
    <t>Ta
[Nm]</t>
  </si>
  <si>
    <t>Tm
[Nm]</t>
  </si>
  <si>
    <t>shaft diameter
[mm]</t>
  </si>
  <si>
    <t>notch radius
[mm]</t>
  </si>
  <si>
    <t>kt</t>
  </si>
  <si>
    <t>kts</t>
  </si>
  <si>
    <t>SF_Goodman</t>
  </si>
  <si>
    <t>SF_Gerber</t>
  </si>
  <si>
    <t>SF_ASMEelliptic</t>
  </si>
  <si>
    <t>SF_Soderberg</t>
  </si>
  <si>
    <t>shoulder bearing A</t>
  </si>
  <si>
    <t>groove</t>
  </si>
  <si>
    <t>keyseat reverse gear</t>
  </si>
  <si>
    <t>shoulder after reverse</t>
  </si>
  <si>
    <t>keyseat gear 1</t>
  </si>
  <si>
    <t>shoulder after gear 1</t>
  </si>
  <si>
    <t>keyseat gear 2</t>
  </si>
  <si>
    <t>shoulder after gear 2</t>
  </si>
  <si>
    <t>shoulder before gear 3</t>
  </si>
  <si>
    <t>keyseat gear 3</t>
  </si>
  <si>
    <t>shoulder after gear 3</t>
  </si>
  <si>
    <t>keyseat gear 4</t>
  </si>
  <si>
    <t>shoulder before gear 5</t>
  </si>
  <si>
    <t>shoulder bearing B</t>
  </si>
  <si>
    <t>Input Shaft Gear 1</t>
  </si>
  <si>
    <t>Input Shaft Gear 2</t>
  </si>
  <si>
    <t>Input Shaft Gear 3</t>
  </si>
  <si>
    <t>Input Shaft Gear 4</t>
  </si>
  <si>
    <t>Input Shaft Gear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</si>
</sst>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14"/>
  <sheetViews>
    <sheetView tabSelected="1" workbookViewId="0">
      <selection activeCell="E80" sqref="E80:E95"/>
    </sheetView>
  </sheetViews>
  <sheetFormatPr defaultRowHeight="14.4" x14ac:dyDescent="0.3"/>
  <cols>
    <col min="2" max="2" width="19.5546875" bestFit="1" customWidth="1"/>
    <col min="3" max="3" width="7.6640625" bestFit="1" customWidth="1"/>
    <col min="16" max="16" width="11.77734375" bestFit="1" customWidth="1"/>
    <col min="17" max="17" width="9.33203125" bestFit="1" customWidth="1"/>
    <col min="18" max="18" width="13.88671875" bestFit="1" customWidth="1"/>
    <col min="19" max="19" width="12" bestFit="1" customWidth="1"/>
  </cols>
  <sheetData>
    <row r="2" spans="2:19" x14ac:dyDescent="0.3">
      <c r="B2" s="1" t="s">
        <v>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ht="43.2" x14ac:dyDescent="0.3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</row>
    <row r="4" spans="2:19" x14ac:dyDescent="0.3">
      <c r="B4" s="2" t="s">
        <v>19</v>
      </c>
      <c r="C4" s="2">
        <v>10</v>
      </c>
      <c r="D4" s="2">
        <v>26.6368005662905</v>
      </c>
      <c r="E4" s="2">
        <v>-73.184008082399203</v>
      </c>
      <c r="F4" s="2">
        <f>SQRT(D4^2+E4^2)</f>
        <v>77.880794701986744</v>
      </c>
      <c r="G4" s="2">
        <v>450</v>
      </c>
      <c r="H4" s="2">
        <f>F4</f>
        <v>77.880794701986744</v>
      </c>
      <c r="I4" s="2">
        <v>0</v>
      </c>
      <c r="J4" s="2">
        <v>0</v>
      </c>
      <c r="K4" s="2">
        <v>450</v>
      </c>
      <c r="L4" s="2">
        <v>30</v>
      </c>
      <c r="M4" s="5">
        <v>1</v>
      </c>
      <c r="N4" s="5">
        <v>2.2999999999999998</v>
      </c>
      <c r="O4" s="5">
        <v>1.9</v>
      </c>
      <c r="P4" s="2">
        <v>2.6905674000706599</v>
      </c>
      <c r="Q4" s="2">
        <v>3.2585440264018399</v>
      </c>
      <c r="R4" s="2">
        <v>2.2404472469669101</v>
      </c>
      <c r="S4" s="2">
        <v>2.5622960701289799</v>
      </c>
    </row>
    <row r="5" spans="2:19" x14ac:dyDescent="0.3">
      <c r="B5" s="2" t="s">
        <v>20</v>
      </c>
      <c r="C5" s="2">
        <v>15</v>
      </c>
      <c r="D5" s="2">
        <v>39.955200849435698</v>
      </c>
      <c r="E5" s="2">
        <v>-109.776012123599</v>
      </c>
      <c r="F5" s="2">
        <f t="shared" ref="F5:F19" si="0">SQRT(D5^2+E5^2)</f>
        <v>116.82119205298028</v>
      </c>
      <c r="G5" s="2">
        <v>450</v>
      </c>
      <c r="H5" s="2">
        <f t="shared" ref="H5:H19" si="1">F5</f>
        <v>116.82119205298028</v>
      </c>
      <c r="I5" s="2">
        <v>0</v>
      </c>
      <c r="J5" s="2">
        <v>0</v>
      </c>
      <c r="K5" s="2">
        <v>450</v>
      </c>
      <c r="L5" s="2">
        <v>38</v>
      </c>
      <c r="M5" s="5">
        <v>0.15</v>
      </c>
      <c r="N5" s="5">
        <v>4.5999999999999996</v>
      </c>
      <c r="O5" s="5">
        <v>2.75</v>
      </c>
      <c r="P5" s="2">
        <v>2.9011553884714698</v>
      </c>
      <c r="Q5" s="2">
        <v>3.6264242951201799</v>
      </c>
      <c r="R5" s="2">
        <v>2.9408271800641299</v>
      </c>
      <c r="S5" s="2">
        <v>2.8031429899644502</v>
      </c>
    </row>
    <row r="6" spans="2:19" x14ac:dyDescent="0.3">
      <c r="B6" s="2" t="s">
        <v>21</v>
      </c>
      <c r="C6" s="2">
        <v>36</v>
      </c>
      <c r="D6" s="2">
        <v>95.892482038645795</v>
      </c>
      <c r="E6" s="2">
        <v>-263.46242909663698</v>
      </c>
      <c r="F6" s="2">
        <f t="shared" si="0"/>
        <v>280.37086092715214</v>
      </c>
      <c r="G6" s="2">
        <v>450</v>
      </c>
      <c r="H6" s="2">
        <f t="shared" si="1"/>
        <v>280.37086092715214</v>
      </c>
      <c r="I6" s="2">
        <v>0</v>
      </c>
      <c r="J6" s="2">
        <v>0</v>
      </c>
      <c r="K6" s="2">
        <v>450</v>
      </c>
      <c r="L6" s="2">
        <v>40</v>
      </c>
      <c r="M6" s="5">
        <v>0.9</v>
      </c>
      <c r="N6" s="5">
        <v>2.14</v>
      </c>
      <c r="O6" s="5">
        <v>3</v>
      </c>
      <c r="P6" s="2">
        <v>2.7062419765788102</v>
      </c>
      <c r="Q6" s="2">
        <v>3.38062705479184</v>
      </c>
      <c r="R6" s="2">
        <v>2.8058036488342601</v>
      </c>
      <c r="S6" s="2">
        <v>2.62021662250626</v>
      </c>
    </row>
    <row r="7" spans="2:19" x14ac:dyDescent="0.3">
      <c r="B7" s="2" t="s">
        <v>22</v>
      </c>
      <c r="C7" s="2">
        <v>56</v>
      </c>
      <c r="D7" s="2">
        <v>149.166083171227</v>
      </c>
      <c r="E7" s="2">
        <v>-409.83044526143601</v>
      </c>
      <c r="F7" s="2">
        <f t="shared" si="0"/>
        <v>436.13245033112622</v>
      </c>
      <c r="G7" s="2">
        <v>450</v>
      </c>
      <c r="H7" s="2">
        <f t="shared" si="1"/>
        <v>436.13245033112622</v>
      </c>
      <c r="I7" s="2">
        <v>0</v>
      </c>
      <c r="J7" s="2">
        <v>0</v>
      </c>
      <c r="K7" s="2">
        <v>450</v>
      </c>
      <c r="L7" s="2">
        <v>40</v>
      </c>
      <c r="M7" s="5">
        <v>1.5</v>
      </c>
      <c r="N7" s="5">
        <v>1.9</v>
      </c>
      <c r="O7" s="5">
        <v>1.8</v>
      </c>
      <c r="P7" s="2">
        <v>2.4380590842576799</v>
      </c>
      <c r="Q7" s="2">
        <v>2.89522446305384</v>
      </c>
      <c r="R7" s="2">
        <v>2.7394763087266001</v>
      </c>
      <c r="S7" s="2">
        <v>2.3942251057880002</v>
      </c>
    </row>
    <row r="8" spans="2:19" x14ac:dyDescent="0.3">
      <c r="B8" s="2" t="s">
        <v>23</v>
      </c>
      <c r="C8" s="2">
        <v>106</v>
      </c>
      <c r="D8" s="2">
        <v>282.35008600267901</v>
      </c>
      <c r="E8" s="2">
        <v>-775.75048567343197</v>
      </c>
      <c r="F8" s="2">
        <f t="shared" si="0"/>
        <v>825.53642384105967</v>
      </c>
      <c r="G8" s="2">
        <v>450</v>
      </c>
      <c r="H8" s="2">
        <f t="shared" si="1"/>
        <v>825.53642384105967</v>
      </c>
      <c r="I8" s="2">
        <v>0</v>
      </c>
      <c r="J8" s="2">
        <v>0</v>
      </c>
      <c r="K8" s="2">
        <v>450</v>
      </c>
      <c r="L8" s="2">
        <v>50</v>
      </c>
      <c r="M8" s="5">
        <v>0.9</v>
      </c>
      <c r="N8" s="5">
        <v>2.14</v>
      </c>
      <c r="O8" s="5">
        <v>3</v>
      </c>
      <c r="P8" s="2">
        <v>2.3443923241254101</v>
      </c>
      <c r="Q8" s="2">
        <v>2.7104094049149801</v>
      </c>
      <c r="R8" s="2">
        <v>2.6212532217115498</v>
      </c>
      <c r="S8" s="2">
        <v>2.3107431376458298</v>
      </c>
    </row>
    <row r="9" spans="2:19" x14ac:dyDescent="0.3">
      <c r="B9" s="2" t="s">
        <v>24</v>
      </c>
      <c r="C9" s="2">
        <v>126</v>
      </c>
      <c r="D9" s="2">
        <v>253.5388527371</v>
      </c>
      <c r="E9" s="2">
        <v>-696.59227284961196</v>
      </c>
      <c r="F9" s="2">
        <f t="shared" si="0"/>
        <v>741.29801324503296</v>
      </c>
      <c r="G9" s="2">
        <v>450</v>
      </c>
      <c r="H9" s="2">
        <f t="shared" si="1"/>
        <v>741.29801324503296</v>
      </c>
      <c r="I9" s="2">
        <v>0</v>
      </c>
      <c r="J9" s="2">
        <v>0</v>
      </c>
      <c r="K9" s="2">
        <v>450</v>
      </c>
      <c r="L9" s="2">
        <v>50</v>
      </c>
      <c r="M9" s="5">
        <v>1.5</v>
      </c>
      <c r="N9" s="5">
        <v>2.1</v>
      </c>
      <c r="O9" s="5">
        <v>1.9</v>
      </c>
      <c r="P9" s="2">
        <v>2.7472805236811402</v>
      </c>
      <c r="Q9" s="2">
        <v>3.0852745809267001</v>
      </c>
      <c r="R9" s="2">
        <v>3.0286415938714799</v>
      </c>
      <c r="S9" s="2">
        <v>2.7170549587775201</v>
      </c>
    </row>
    <row r="10" spans="2:19" x14ac:dyDescent="0.3">
      <c r="B10" s="2" t="s">
        <v>25</v>
      </c>
      <c r="C10" s="2">
        <v>141</v>
      </c>
      <c r="D10" s="2">
        <v>231.93042778791499</v>
      </c>
      <c r="E10" s="2">
        <v>-637.223613231748</v>
      </c>
      <c r="F10" s="2">
        <f t="shared" si="0"/>
        <v>678.11920529801364</v>
      </c>
      <c r="G10" s="2">
        <v>450</v>
      </c>
      <c r="H10" s="2">
        <f t="shared" si="1"/>
        <v>678.11920529801364</v>
      </c>
      <c r="I10" s="2">
        <v>0</v>
      </c>
      <c r="J10" s="2">
        <v>0</v>
      </c>
      <c r="K10" s="2">
        <v>450</v>
      </c>
      <c r="L10" s="2">
        <v>55</v>
      </c>
      <c r="M10" s="5">
        <v>0.9</v>
      </c>
      <c r="N10" s="5">
        <v>2.14</v>
      </c>
      <c r="O10" s="5">
        <v>3</v>
      </c>
      <c r="P10" s="7">
        <v>3.6255155223293198</v>
      </c>
      <c r="Q10" s="7">
        <v>4.2654712038073104</v>
      </c>
      <c r="R10" s="7">
        <v>4.0715982767701497</v>
      </c>
      <c r="S10" s="7">
        <v>3.5651946565145298</v>
      </c>
    </row>
    <row r="11" spans="2:19" x14ac:dyDescent="0.3">
      <c r="B11" s="2" t="s">
        <v>26</v>
      </c>
      <c r="C11" s="2">
        <v>156</v>
      </c>
      <c r="D11" s="2">
        <v>210.32200283873101</v>
      </c>
      <c r="E11" s="2">
        <v>-577.85495361388303</v>
      </c>
      <c r="F11" s="2">
        <f t="shared" si="0"/>
        <v>614.94039735099375</v>
      </c>
      <c r="G11" s="2">
        <v>450</v>
      </c>
      <c r="H11" s="2">
        <f t="shared" si="1"/>
        <v>614.94039735099375</v>
      </c>
      <c r="I11" s="2">
        <v>0</v>
      </c>
      <c r="J11" s="2">
        <v>0</v>
      </c>
      <c r="K11" s="2">
        <v>450</v>
      </c>
      <c r="L11" s="2">
        <v>55</v>
      </c>
      <c r="M11" s="5">
        <v>1.5</v>
      </c>
      <c r="N11" s="5">
        <v>2.1800000000000002</v>
      </c>
      <c r="O11" s="5">
        <v>1.45</v>
      </c>
      <c r="P11" s="2">
        <v>4.2578105195702101</v>
      </c>
      <c r="Q11" s="2">
        <v>4.73293113261344</v>
      </c>
      <c r="R11" s="2">
        <v>4.6637776540894098</v>
      </c>
      <c r="S11" s="2">
        <v>4.2156116108422204</v>
      </c>
    </row>
    <row r="12" spans="2:19" x14ac:dyDescent="0.3">
      <c r="B12" s="2" t="s">
        <v>27</v>
      </c>
      <c r="C12" s="2">
        <v>186</v>
      </c>
      <c r="D12" s="2">
        <v>167.10515294036099</v>
      </c>
      <c r="E12" s="2">
        <v>-459.11763437815301</v>
      </c>
      <c r="F12" s="2">
        <f t="shared" si="0"/>
        <v>488.58278145695311</v>
      </c>
      <c r="G12" s="2">
        <v>450</v>
      </c>
      <c r="H12" s="2">
        <f t="shared" si="1"/>
        <v>488.58278145695311</v>
      </c>
      <c r="I12" s="2">
        <v>0</v>
      </c>
      <c r="J12" s="2">
        <v>0</v>
      </c>
      <c r="K12" s="2">
        <v>450</v>
      </c>
      <c r="L12" s="2">
        <v>55</v>
      </c>
      <c r="M12" s="5">
        <v>1.5</v>
      </c>
      <c r="N12" s="5">
        <v>2.1800000000000002</v>
      </c>
      <c r="O12" s="5">
        <v>1.45</v>
      </c>
      <c r="P12" s="2">
        <v>5.2040360891706596</v>
      </c>
      <c r="Q12" s="2">
        <v>5.9019292689749596</v>
      </c>
      <c r="R12" s="2">
        <v>5.7688003114013604</v>
      </c>
      <c r="S12" s="2">
        <v>5.1411356525062404</v>
      </c>
    </row>
    <row r="13" spans="2:19" x14ac:dyDescent="0.3">
      <c r="B13" s="2" t="s">
        <v>28</v>
      </c>
      <c r="C13" s="2">
        <v>198</v>
      </c>
      <c r="D13" s="2">
        <v>149.81841298101401</v>
      </c>
      <c r="E13" s="2">
        <v>-411.62270668386202</v>
      </c>
      <c r="F13" s="2">
        <f t="shared" si="0"/>
        <v>438.0397350993382</v>
      </c>
      <c r="G13" s="2">
        <v>450</v>
      </c>
      <c r="H13" s="2">
        <f t="shared" si="1"/>
        <v>438.0397350993382</v>
      </c>
      <c r="I13" s="2">
        <v>0</v>
      </c>
      <c r="J13" s="2">
        <v>0</v>
      </c>
      <c r="K13" s="2">
        <v>450</v>
      </c>
      <c r="L13" s="2">
        <v>55</v>
      </c>
      <c r="M13" s="5">
        <v>0.9</v>
      </c>
      <c r="N13" s="5">
        <v>2.14</v>
      </c>
      <c r="O13" s="5">
        <v>3</v>
      </c>
      <c r="P13" s="2">
        <v>5.0717238721723703</v>
      </c>
      <c r="Q13" s="2">
        <v>6.1975438213852598</v>
      </c>
      <c r="R13" s="2">
        <v>5.6288534200729901</v>
      </c>
      <c r="S13" s="2">
        <v>4.9544594073585504</v>
      </c>
    </row>
    <row r="14" spans="2:19" x14ac:dyDescent="0.3">
      <c r="B14" s="2" t="s">
        <v>29</v>
      </c>
      <c r="C14" s="2">
        <v>211</v>
      </c>
      <c r="D14" s="2">
        <v>131.091111358387</v>
      </c>
      <c r="E14" s="2">
        <v>-360.169868348379</v>
      </c>
      <c r="F14" s="2">
        <f t="shared" si="0"/>
        <v>383.28476821192055</v>
      </c>
      <c r="G14" s="2">
        <v>450</v>
      </c>
      <c r="H14" s="2">
        <f t="shared" si="1"/>
        <v>383.28476821192055</v>
      </c>
      <c r="I14" s="2">
        <v>0</v>
      </c>
      <c r="J14" s="2">
        <v>0</v>
      </c>
      <c r="K14" s="2">
        <v>450</v>
      </c>
      <c r="L14" s="2">
        <v>50</v>
      </c>
      <c r="M14" s="5">
        <v>1.5</v>
      </c>
      <c r="N14" s="5">
        <v>2.1</v>
      </c>
      <c r="O14" s="5">
        <v>1.9</v>
      </c>
      <c r="P14" s="2">
        <v>4.7462646335862697</v>
      </c>
      <c r="Q14" s="2">
        <v>5.66838209993319</v>
      </c>
      <c r="R14" s="2">
        <v>5.3304031890945804</v>
      </c>
      <c r="S14" s="2">
        <v>4.6567674242875503</v>
      </c>
    </row>
    <row r="15" spans="2:19" x14ac:dyDescent="0.3">
      <c r="B15" s="2" t="s">
        <v>30</v>
      </c>
      <c r="C15" s="2">
        <v>223</v>
      </c>
      <c r="D15" s="2">
        <v>113.804371399039</v>
      </c>
      <c r="E15" s="2">
        <v>-312.67494065408698</v>
      </c>
      <c r="F15" s="2">
        <f t="shared" si="0"/>
        <v>332.74172185430433</v>
      </c>
      <c r="G15" s="2">
        <v>450</v>
      </c>
      <c r="H15" s="2">
        <f t="shared" si="1"/>
        <v>332.74172185430433</v>
      </c>
      <c r="I15" s="2">
        <v>0</v>
      </c>
      <c r="J15" s="2">
        <v>0</v>
      </c>
      <c r="K15" s="2">
        <v>450</v>
      </c>
      <c r="L15" s="2">
        <v>50</v>
      </c>
      <c r="M15" s="5">
        <v>0.9</v>
      </c>
      <c r="N15" s="5">
        <v>2.14</v>
      </c>
      <c r="O15" s="5">
        <v>3</v>
      </c>
      <c r="P15" s="2">
        <v>4.6605712912923103</v>
      </c>
      <c r="Q15" s="2">
        <v>5.7909700914286901</v>
      </c>
      <c r="R15" s="2">
        <v>5.0051058685128504</v>
      </c>
      <c r="S15" s="2">
        <v>4.52944882213166</v>
      </c>
    </row>
    <row r="16" spans="2:19" x14ac:dyDescent="0.3">
      <c r="B16" s="2" t="s">
        <v>20</v>
      </c>
      <c r="C16" s="2">
        <v>237</v>
      </c>
      <c r="D16" s="2">
        <v>93.636508113133502</v>
      </c>
      <c r="E16" s="2">
        <v>-257.26419167741301</v>
      </c>
      <c r="F16" s="2">
        <f t="shared" si="0"/>
        <v>273.77483443708559</v>
      </c>
      <c r="G16" s="2">
        <v>450</v>
      </c>
      <c r="H16" s="2">
        <f t="shared" si="1"/>
        <v>273.77483443708559</v>
      </c>
      <c r="I16" s="2">
        <v>0</v>
      </c>
      <c r="J16" s="2">
        <v>0</v>
      </c>
      <c r="K16" s="2">
        <v>450</v>
      </c>
      <c r="L16" s="2">
        <v>48</v>
      </c>
      <c r="M16" s="5">
        <v>0.15</v>
      </c>
      <c r="N16" s="5">
        <v>4.5</v>
      </c>
      <c r="O16" s="5">
        <v>2.5</v>
      </c>
      <c r="P16" s="2">
        <v>3.2920736557628199</v>
      </c>
      <c r="Q16" s="2">
        <v>3.9027978388045499</v>
      </c>
      <c r="R16" s="2">
        <v>3.6991444798064501</v>
      </c>
      <c r="S16" s="2">
        <v>3.2337110643076001</v>
      </c>
    </row>
    <row r="17" spans="2:19" x14ac:dyDescent="0.3">
      <c r="B17" s="2" t="s">
        <v>31</v>
      </c>
      <c r="C17" s="2">
        <v>266</v>
      </c>
      <c r="D17" s="2">
        <v>51.860219878043097</v>
      </c>
      <c r="E17" s="2">
        <v>-142.484783082875</v>
      </c>
      <c r="F17" s="2">
        <f t="shared" si="0"/>
        <v>151.62913907284747</v>
      </c>
      <c r="G17" s="2">
        <v>450</v>
      </c>
      <c r="H17" s="2">
        <f t="shared" si="1"/>
        <v>151.62913907284747</v>
      </c>
      <c r="I17" s="2">
        <v>0</v>
      </c>
      <c r="J17" s="2">
        <v>0</v>
      </c>
      <c r="K17" s="2">
        <v>450</v>
      </c>
      <c r="L17" s="2">
        <v>41.7</v>
      </c>
      <c r="M17" s="5">
        <v>1</v>
      </c>
      <c r="N17" s="5">
        <v>2.2999999999999998</v>
      </c>
      <c r="O17" s="5">
        <v>1.9</v>
      </c>
      <c r="P17" s="2">
        <v>5.04805673153367</v>
      </c>
      <c r="Q17" s="2">
        <v>6.3100330781744001</v>
      </c>
      <c r="R17" s="2">
        <v>5.1166296591602398</v>
      </c>
      <c r="S17" s="2">
        <v>4.8774754663877502</v>
      </c>
    </row>
    <row r="18" spans="2:19" x14ac:dyDescent="0.3">
      <c r="B18" s="2" t="s">
        <v>20</v>
      </c>
      <c r="C18" s="2">
        <v>286</v>
      </c>
      <c r="D18" s="2">
        <v>23.048986612463601</v>
      </c>
      <c r="E18" s="2">
        <v>-63.326570259055103</v>
      </c>
      <c r="F18" s="2">
        <f t="shared" si="0"/>
        <v>67.390728476820669</v>
      </c>
      <c r="G18" s="2">
        <v>450</v>
      </c>
      <c r="H18" s="2">
        <f t="shared" si="1"/>
        <v>67.390728476820669</v>
      </c>
      <c r="I18" s="2">
        <v>0</v>
      </c>
      <c r="J18" s="2">
        <v>0</v>
      </c>
      <c r="K18" s="2">
        <v>450</v>
      </c>
      <c r="L18" s="2">
        <v>38</v>
      </c>
      <c r="M18" s="5">
        <v>0.15</v>
      </c>
      <c r="N18" s="5">
        <v>5.75</v>
      </c>
      <c r="O18" s="5">
        <v>3.45</v>
      </c>
      <c r="P18" s="2">
        <v>3.1491107999233998</v>
      </c>
      <c r="Q18" s="2">
        <v>3.8567030306588501</v>
      </c>
      <c r="R18" s="2">
        <v>2.7449313447011101</v>
      </c>
      <c r="S18" s="2">
        <v>3.0083333266740802</v>
      </c>
    </row>
    <row r="19" spans="2:19" x14ac:dyDescent="0.3">
      <c r="B19" s="4" t="s">
        <v>32</v>
      </c>
      <c r="C19" s="4">
        <v>292</v>
      </c>
      <c r="D19" s="4">
        <v>14.405616632789799</v>
      </c>
      <c r="E19" s="4">
        <v>-39.579106411909699</v>
      </c>
      <c r="F19" s="4">
        <f t="shared" si="0"/>
        <v>42.119205298013178</v>
      </c>
      <c r="G19" s="4">
        <v>450</v>
      </c>
      <c r="H19" s="4">
        <f t="shared" si="1"/>
        <v>42.119205298013178</v>
      </c>
      <c r="I19" s="4">
        <v>0</v>
      </c>
      <c r="J19" s="4">
        <v>0</v>
      </c>
      <c r="K19" s="4">
        <v>450</v>
      </c>
      <c r="L19" s="4">
        <v>30</v>
      </c>
      <c r="M19" s="6">
        <v>1</v>
      </c>
      <c r="N19" s="6">
        <v>2.2999999999999998</v>
      </c>
      <c r="O19" s="6">
        <v>1.9</v>
      </c>
      <c r="P19" s="4">
        <v>3.3416160502370902</v>
      </c>
      <c r="Q19" s="4">
        <v>3.8340415731925899</v>
      </c>
      <c r="R19" s="4">
        <v>2.3464621343524601</v>
      </c>
      <c r="S19" s="4">
        <v>3.1460139118605999</v>
      </c>
    </row>
    <row r="21" spans="2:19" x14ac:dyDescent="0.3">
      <c r="B21" s="1" t="s">
        <v>34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19" ht="43.2" x14ac:dyDescent="0.3">
      <c r="B22" s="2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  <c r="L22" s="3" t="s">
        <v>11</v>
      </c>
      <c r="M22" s="3" t="s">
        <v>12</v>
      </c>
      <c r="N22" s="2" t="s">
        <v>13</v>
      </c>
      <c r="O22" s="2" t="s">
        <v>14</v>
      </c>
      <c r="P22" s="2" t="s">
        <v>15</v>
      </c>
      <c r="Q22" s="2" t="s">
        <v>16</v>
      </c>
      <c r="R22" s="2" t="s">
        <v>17</v>
      </c>
      <c r="S22" s="2" t="s">
        <v>18</v>
      </c>
    </row>
    <row r="23" spans="2:19" x14ac:dyDescent="0.3">
      <c r="B23" s="2" t="s">
        <v>19</v>
      </c>
      <c r="C23" s="2">
        <v>10</v>
      </c>
      <c r="D23" s="2">
        <v>17.645345997254601</v>
      </c>
      <c r="E23" s="2">
        <v>-48.480189685921097</v>
      </c>
      <c r="F23" s="2">
        <f>SQRT(D23^2+E23^2)</f>
        <v>51.591540269173194</v>
      </c>
      <c r="G23" s="2">
        <v>450</v>
      </c>
      <c r="H23" s="2">
        <f>F23</f>
        <v>51.591540269173194</v>
      </c>
      <c r="I23" s="2">
        <v>0</v>
      </c>
      <c r="J23" s="2">
        <v>0</v>
      </c>
      <c r="K23" s="2">
        <v>450</v>
      </c>
      <c r="L23" s="2">
        <v>30</v>
      </c>
      <c r="M23" s="5">
        <v>1</v>
      </c>
      <c r="N23" s="5">
        <v>2.2999999999999998</v>
      </c>
      <c r="O23" s="5">
        <v>1.9</v>
      </c>
      <c r="P23" s="2">
        <v>3.1403424513197198</v>
      </c>
      <c r="Q23" s="2">
        <v>3.6699031184029902</v>
      </c>
      <c r="R23" s="2">
        <v>2.3232998317008602</v>
      </c>
      <c r="S23" s="2">
        <v>2.96698263964061</v>
      </c>
    </row>
    <row r="24" spans="2:19" x14ac:dyDescent="0.3">
      <c r="B24" s="2" t="s">
        <v>20</v>
      </c>
      <c r="C24" s="2">
        <v>15</v>
      </c>
      <c r="D24" s="2">
        <v>26.468018995882002</v>
      </c>
      <c r="E24" s="2">
        <v>-72.720284528881706</v>
      </c>
      <c r="F24" s="2">
        <f t="shared" ref="F24:F38" si="2">SQRT(D24^2+E24^2)</f>
        <v>77.387310403759884</v>
      </c>
      <c r="G24" s="2">
        <v>450</v>
      </c>
      <c r="H24" s="2">
        <f t="shared" ref="H24:H38" si="3">F24</f>
        <v>77.387310403759884</v>
      </c>
      <c r="I24" s="2">
        <v>0</v>
      </c>
      <c r="J24" s="2">
        <v>0</v>
      </c>
      <c r="K24" s="2">
        <v>450</v>
      </c>
      <c r="L24" s="2">
        <v>38</v>
      </c>
      <c r="M24" s="5">
        <v>0.15</v>
      </c>
      <c r="N24" s="5">
        <v>4.5999999999999996</v>
      </c>
      <c r="O24" s="5">
        <v>2.75</v>
      </c>
      <c r="P24" s="2">
        <v>3.6347397902512499</v>
      </c>
      <c r="Q24" s="2">
        <v>4.4891517074544502</v>
      </c>
      <c r="R24" s="2">
        <v>3.3006224912445301</v>
      </c>
      <c r="S24" s="2">
        <v>3.4821970838360001</v>
      </c>
    </row>
    <row r="25" spans="2:19" x14ac:dyDescent="0.3">
      <c r="B25" s="2" t="s">
        <v>21</v>
      </c>
      <c r="C25" s="2">
        <v>36</v>
      </c>
      <c r="D25" s="2">
        <v>63.523245590116701</v>
      </c>
      <c r="E25" s="2">
        <v>-174.52868286931599</v>
      </c>
      <c r="F25" s="2">
        <f t="shared" si="2"/>
        <v>185.72954496902361</v>
      </c>
      <c r="G25" s="2">
        <v>450</v>
      </c>
      <c r="H25" s="2">
        <f t="shared" si="3"/>
        <v>185.72954496902361</v>
      </c>
      <c r="I25" s="2">
        <v>0</v>
      </c>
      <c r="J25" s="2">
        <v>0</v>
      </c>
      <c r="K25" s="2">
        <v>450</v>
      </c>
      <c r="L25" s="2">
        <v>40</v>
      </c>
      <c r="M25" s="5">
        <v>0.9</v>
      </c>
      <c r="N25" s="5">
        <v>2.14</v>
      </c>
      <c r="O25" s="5">
        <v>3</v>
      </c>
      <c r="P25" s="2">
        <v>3.4260955648829698</v>
      </c>
      <c r="Q25" s="2">
        <v>4.2527791066793501</v>
      </c>
      <c r="R25" s="2">
        <v>3.2052321811304298</v>
      </c>
      <c r="S25" s="2">
        <v>3.2893744979008099</v>
      </c>
    </row>
    <row r="26" spans="2:19" x14ac:dyDescent="0.3">
      <c r="B26" s="2" t="s">
        <v>22</v>
      </c>
      <c r="C26" s="2">
        <v>56</v>
      </c>
      <c r="D26" s="2">
        <v>98.813937584626004</v>
      </c>
      <c r="E26" s="2">
        <v>-271.48906224115802</v>
      </c>
      <c r="F26" s="2">
        <f t="shared" si="2"/>
        <v>288.91262550736985</v>
      </c>
      <c r="G26" s="2">
        <v>450</v>
      </c>
      <c r="H26" s="2">
        <f t="shared" si="3"/>
        <v>288.91262550736985</v>
      </c>
      <c r="I26" s="2">
        <v>0</v>
      </c>
      <c r="J26" s="2">
        <v>0</v>
      </c>
      <c r="K26" s="2">
        <v>450</v>
      </c>
      <c r="L26" s="2">
        <v>40</v>
      </c>
      <c r="M26" s="5">
        <v>1.5</v>
      </c>
      <c r="N26" s="5">
        <v>1.9</v>
      </c>
      <c r="O26" s="5">
        <v>1.8</v>
      </c>
      <c r="P26" s="2">
        <v>3.32381047356425</v>
      </c>
      <c r="Q26" s="2">
        <v>4.0825026603355301</v>
      </c>
      <c r="R26" s="2">
        <v>3.6659115562128699</v>
      </c>
      <c r="S26" s="2">
        <v>3.2428696848199499</v>
      </c>
    </row>
    <row r="27" spans="2:19" x14ac:dyDescent="0.3">
      <c r="B27" s="2" t="s">
        <v>23</v>
      </c>
      <c r="C27" s="2">
        <v>106</v>
      </c>
      <c r="D27" s="2">
        <v>187.04066757089899</v>
      </c>
      <c r="E27" s="2">
        <v>-513.89001067076401</v>
      </c>
      <c r="F27" s="2">
        <f t="shared" si="2"/>
        <v>546.87032685323629</v>
      </c>
      <c r="G27" s="2">
        <v>450</v>
      </c>
      <c r="H27" s="2">
        <f t="shared" si="3"/>
        <v>546.87032685323629</v>
      </c>
      <c r="I27" s="2">
        <v>0</v>
      </c>
      <c r="J27" s="2">
        <v>0</v>
      </c>
      <c r="K27" s="2">
        <v>450</v>
      </c>
      <c r="L27" s="2">
        <v>50</v>
      </c>
      <c r="M27" s="5">
        <v>0.9</v>
      </c>
      <c r="N27" s="5">
        <v>2.14</v>
      </c>
      <c r="O27" s="5">
        <v>3</v>
      </c>
      <c r="P27" s="2">
        <v>3.2607603995168999</v>
      </c>
      <c r="Q27" s="2">
        <v>3.9179351118132502</v>
      </c>
      <c r="R27" s="2">
        <v>3.6570626029018101</v>
      </c>
      <c r="S27" s="2">
        <v>3.19602794684041</v>
      </c>
    </row>
    <row r="28" spans="2:19" x14ac:dyDescent="0.3">
      <c r="B28" s="2" t="s">
        <v>24</v>
      </c>
      <c r="C28" s="2">
        <v>126</v>
      </c>
      <c r="D28" s="2">
        <v>222.331359565409</v>
      </c>
      <c r="E28" s="2">
        <v>-610.85039004260705</v>
      </c>
      <c r="F28" s="2">
        <f t="shared" si="2"/>
        <v>650.05340739158373</v>
      </c>
      <c r="G28" s="2">
        <v>450</v>
      </c>
      <c r="H28" s="2">
        <f t="shared" si="3"/>
        <v>650.05340739158373</v>
      </c>
      <c r="I28" s="2">
        <v>0</v>
      </c>
      <c r="J28" s="2">
        <v>0</v>
      </c>
      <c r="K28" s="2">
        <v>450</v>
      </c>
      <c r="L28" s="2">
        <v>50</v>
      </c>
      <c r="M28" s="5">
        <v>1.5</v>
      </c>
      <c r="N28" s="5">
        <v>2.1</v>
      </c>
      <c r="O28" s="5">
        <v>1.9</v>
      </c>
      <c r="P28" s="2">
        <v>3.0776370575485998</v>
      </c>
      <c r="Q28" s="2">
        <v>3.4972151630474202</v>
      </c>
      <c r="R28" s="2">
        <v>3.415117461925</v>
      </c>
      <c r="S28" s="2">
        <v>3.0397553945289499</v>
      </c>
    </row>
    <row r="29" spans="2:19" x14ac:dyDescent="0.3">
      <c r="B29" s="2" t="s">
        <v>25</v>
      </c>
      <c r="C29" s="2">
        <v>141</v>
      </c>
      <c r="D29" s="2">
        <v>248.79937856129001</v>
      </c>
      <c r="E29" s="2">
        <v>-683.57067457148798</v>
      </c>
      <c r="F29" s="2">
        <f t="shared" si="2"/>
        <v>727.44071779534261</v>
      </c>
      <c r="G29" s="2">
        <v>450</v>
      </c>
      <c r="H29" s="2">
        <f t="shared" si="3"/>
        <v>727.44071779534261</v>
      </c>
      <c r="I29" s="2">
        <v>0</v>
      </c>
      <c r="J29" s="2">
        <v>0</v>
      </c>
      <c r="K29" s="2">
        <v>450</v>
      </c>
      <c r="L29" s="2">
        <v>55</v>
      </c>
      <c r="M29" s="5">
        <v>0.9</v>
      </c>
      <c r="N29" s="5">
        <v>2.14</v>
      </c>
      <c r="O29" s="5">
        <v>3</v>
      </c>
      <c r="P29" s="7">
        <v>3.4248825491662802</v>
      </c>
      <c r="Q29" s="7">
        <v>4.0025398399275396</v>
      </c>
      <c r="R29" s="7">
        <v>3.8415688281268299</v>
      </c>
      <c r="S29" s="7">
        <v>3.3710035593502501</v>
      </c>
    </row>
    <row r="30" spans="2:19" x14ac:dyDescent="0.3">
      <c r="B30" s="2" t="s">
        <v>26</v>
      </c>
      <c r="C30" s="2">
        <v>156</v>
      </c>
      <c r="D30" s="2">
        <v>225.619312235704</v>
      </c>
      <c r="E30" s="2">
        <v>-619.88396576048001</v>
      </c>
      <c r="F30" s="2">
        <f t="shared" si="2"/>
        <v>659.66673787652201</v>
      </c>
      <c r="G30" s="2">
        <v>450</v>
      </c>
      <c r="H30" s="2">
        <f t="shared" si="3"/>
        <v>659.66673787652201</v>
      </c>
      <c r="I30" s="2">
        <v>0</v>
      </c>
      <c r="J30" s="2">
        <v>0</v>
      </c>
      <c r="K30" s="2">
        <v>450</v>
      </c>
      <c r="L30" s="2">
        <v>55</v>
      </c>
      <c r="M30" s="5">
        <v>1.5</v>
      </c>
      <c r="N30" s="5">
        <v>2.1800000000000002</v>
      </c>
      <c r="O30" s="5">
        <v>1.45</v>
      </c>
      <c r="P30" s="2">
        <v>4.0003479547533303</v>
      </c>
      <c r="Q30" s="2">
        <v>4.4213828221421902</v>
      </c>
      <c r="R30" s="2">
        <v>4.3649126921769303</v>
      </c>
      <c r="S30" s="2">
        <v>3.9630758047372701</v>
      </c>
    </row>
    <row r="31" spans="2:19" x14ac:dyDescent="0.3">
      <c r="B31" s="2" t="s">
        <v>27</v>
      </c>
      <c r="C31" s="2">
        <v>186</v>
      </c>
      <c r="D31" s="2">
        <v>179.25917958453201</v>
      </c>
      <c r="E31" s="2">
        <v>-492.510548138464</v>
      </c>
      <c r="F31" s="2">
        <f t="shared" si="2"/>
        <v>524.11877803888092</v>
      </c>
      <c r="G31" s="2">
        <v>450</v>
      </c>
      <c r="H31" s="2">
        <f t="shared" si="3"/>
        <v>524.11877803888092</v>
      </c>
      <c r="I31" s="2">
        <v>0</v>
      </c>
      <c r="J31" s="2">
        <v>0</v>
      </c>
      <c r="K31" s="2">
        <v>450</v>
      </c>
      <c r="L31" s="2">
        <v>55</v>
      </c>
      <c r="M31" s="5">
        <v>1.5</v>
      </c>
      <c r="N31" s="5">
        <v>2.1800000000000002</v>
      </c>
      <c r="O31" s="5">
        <v>1.45</v>
      </c>
      <c r="P31" s="2">
        <v>4.8979193655029603</v>
      </c>
      <c r="Q31" s="2">
        <v>5.5197824034769001</v>
      </c>
      <c r="R31" s="2">
        <v>5.41059952588909</v>
      </c>
      <c r="S31" s="2">
        <v>4.8421616194410104</v>
      </c>
    </row>
    <row r="32" spans="2:19" x14ac:dyDescent="0.3">
      <c r="B32" s="2" t="s">
        <v>28</v>
      </c>
      <c r="C32" s="2">
        <v>198</v>
      </c>
      <c r="D32" s="2">
        <v>160.71512652406301</v>
      </c>
      <c r="E32" s="2">
        <v>-441.561181089657</v>
      </c>
      <c r="F32" s="2">
        <f t="shared" si="2"/>
        <v>469.89959410382386</v>
      </c>
      <c r="G32" s="2">
        <v>450</v>
      </c>
      <c r="H32" s="2">
        <f t="shared" si="3"/>
        <v>469.89959410382386</v>
      </c>
      <c r="I32" s="2">
        <v>0</v>
      </c>
      <c r="J32" s="2">
        <v>0</v>
      </c>
      <c r="K32" s="2">
        <v>450</v>
      </c>
      <c r="L32" s="2">
        <v>55</v>
      </c>
      <c r="M32" s="5">
        <v>0.9</v>
      </c>
      <c r="N32" s="5">
        <v>2.14</v>
      </c>
      <c r="O32" s="5">
        <v>3</v>
      </c>
      <c r="P32" s="2">
        <v>4.81674534532198</v>
      </c>
      <c r="Q32" s="2">
        <v>5.8546599440036404</v>
      </c>
      <c r="R32" s="2">
        <v>5.3708936913814096</v>
      </c>
      <c r="S32" s="2">
        <v>4.7108522315718</v>
      </c>
    </row>
    <row r="33" spans="2:19" x14ac:dyDescent="0.3">
      <c r="B33" s="2" t="s">
        <v>29</v>
      </c>
      <c r="C33" s="2">
        <v>211</v>
      </c>
      <c r="D33" s="2">
        <v>140.62573570855599</v>
      </c>
      <c r="E33" s="2">
        <v>-386.36603345344997</v>
      </c>
      <c r="F33" s="2">
        <f t="shared" si="2"/>
        <v>411.16214484084628</v>
      </c>
      <c r="G33" s="2">
        <v>450</v>
      </c>
      <c r="H33" s="2">
        <f t="shared" si="3"/>
        <v>411.16214484084628</v>
      </c>
      <c r="I33" s="2">
        <v>0</v>
      </c>
      <c r="J33" s="2">
        <v>0</v>
      </c>
      <c r="K33" s="2">
        <v>450</v>
      </c>
      <c r="L33" s="2">
        <v>50</v>
      </c>
      <c r="M33" s="5">
        <v>1.5</v>
      </c>
      <c r="N33" s="5">
        <v>2.1</v>
      </c>
      <c r="O33" s="5">
        <v>1.9</v>
      </c>
      <c r="P33" s="2">
        <v>4.4917710957004804</v>
      </c>
      <c r="Q33" s="2">
        <v>5.32990633838308</v>
      </c>
      <c r="R33" s="2">
        <v>5.0471679526740898</v>
      </c>
      <c r="S33" s="2">
        <v>4.4115330850292001</v>
      </c>
    </row>
    <row r="34" spans="2:19" x14ac:dyDescent="0.3">
      <c r="B34" s="2" t="s">
        <v>30</v>
      </c>
      <c r="C34" s="2">
        <v>223</v>
      </c>
      <c r="D34" s="2">
        <v>122.081682648087</v>
      </c>
      <c r="E34" s="2">
        <v>-335.41666640464302</v>
      </c>
      <c r="F34" s="2">
        <f t="shared" si="2"/>
        <v>356.94296090578928</v>
      </c>
      <c r="G34" s="2">
        <v>450</v>
      </c>
      <c r="H34" s="2">
        <f t="shared" si="3"/>
        <v>356.94296090578928</v>
      </c>
      <c r="I34" s="2">
        <v>0</v>
      </c>
      <c r="J34" s="2">
        <v>0</v>
      </c>
      <c r="K34" s="2">
        <v>450</v>
      </c>
      <c r="L34" s="2">
        <v>50</v>
      </c>
      <c r="M34" s="5">
        <v>0.9</v>
      </c>
      <c r="N34" s="5">
        <v>2.14</v>
      </c>
      <c r="O34" s="5">
        <v>3</v>
      </c>
      <c r="P34" s="2">
        <v>4.4449080275628701</v>
      </c>
      <c r="Q34" s="2">
        <v>5.5054985927454902</v>
      </c>
      <c r="R34" s="2">
        <v>4.8220340886337798</v>
      </c>
      <c r="S34" s="2">
        <v>4.3254844330687297</v>
      </c>
    </row>
    <row r="35" spans="2:19" x14ac:dyDescent="0.3">
      <c r="B35" s="2" t="s">
        <v>20</v>
      </c>
      <c r="C35" s="2">
        <v>237</v>
      </c>
      <c r="D35" s="2">
        <v>100.44695407754</v>
      </c>
      <c r="E35" s="2">
        <v>-275.97573818103598</v>
      </c>
      <c r="F35" s="2">
        <f t="shared" si="2"/>
        <v>293.68724631489044</v>
      </c>
      <c r="G35" s="2">
        <v>450</v>
      </c>
      <c r="H35" s="2">
        <f t="shared" si="3"/>
        <v>293.68724631489044</v>
      </c>
      <c r="I35" s="2">
        <v>0</v>
      </c>
      <c r="J35" s="2">
        <v>0</v>
      </c>
      <c r="K35" s="2">
        <v>450</v>
      </c>
      <c r="L35" s="2">
        <v>48</v>
      </c>
      <c r="M35" s="5">
        <v>0.15</v>
      </c>
      <c r="N35" s="5">
        <v>4.5</v>
      </c>
      <c r="O35" s="5">
        <v>2.5</v>
      </c>
      <c r="P35" s="2">
        <v>3.1126693016912501</v>
      </c>
      <c r="Q35" s="2">
        <v>3.66579478937058</v>
      </c>
      <c r="R35" s="2">
        <v>3.49609680925577</v>
      </c>
      <c r="S35" s="2">
        <v>3.0604439676359898</v>
      </c>
    </row>
    <row r="36" spans="2:19" x14ac:dyDescent="0.3">
      <c r="B36" s="2" t="s">
        <v>31</v>
      </c>
      <c r="C36" s="2">
        <v>266</v>
      </c>
      <c r="D36" s="2">
        <v>55.6321591814065</v>
      </c>
      <c r="E36" s="2">
        <v>-152.84810114641999</v>
      </c>
      <c r="F36" s="2">
        <f t="shared" si="2"/>
        <v>162.65755180517007</v>
      </c>
      <c r="G36" s="2">
        <v>450</v>
      </c>
      <c r="H36" s="2">
        <f t="shared" si="3"/>
        <v>162.65755180517007</v>
      </c>
      <c r="I36" s="2">
        <v>0</v>
      </c>
      <c r="J36" s="2">
        <v>0</v>
      </c>
      <c r="K36" s="2">
        <v>450</v>
      </c>
      <c r="L36" s="2">
        <v>41.7</v>
      </c>
      <c r="M36" s="5">
        <v>1</v>
      </c>
      <c r="N36" s="5">
        <v>2.2999999999999998</v>
      </c>
      <c r="O36" s="5">
        <v>1.9</v>
      </c>
      <c r="P36" s="2">
        <v>4.8377120006889198</v>
      </c>
      <c r="Q36" s="2">
        <v>6.0455132914421403</v>
      </c>
      <c r="R36" s="2">
        <v>4.9806471543099997</v>
      </c>
      <c r="S36" s="2">
        <v>4.6808293812665802</v>
      </c>
    </row>
    <row r="37" spans="2:19" x14ac:dyDescent="0.3">
      <c r="B37" s="2" t="s">
        <v>20</v>
      </c>
      <c r="C37" s="2">
        <v>286</v>
      </c>
      <c r="D37" s="2">
        <v>24.725404080625001</v>
      </c>
      <c r="E37" s="2">
        <v>-67.932489398408507</v>
      </c>
      <c r="F37" s="2">
        <f t="shared" si="2"/>
        <v>72.292245246741857</v>
      </c>
      <c r="G37" s="2">
        <v>450</v>
      </c>
      <c r="H37" s="2">
        <f t="shared" si="3"/>
        <v>72.292245246741857</v>
      </c>
      <c r="I37" s="2">
        <v>0</v>
      </c>
      <c r="J37" s="2">
        <v>0</v>
      </c>
      <c r="K37" s="2">
        <v>450</v>
      </c>
      <c r="L37" s="2">
        <v>38</v>
      </c>
      <c r="M37" s="5">
        <v>0.15</v>
      </c>
      <c r="N37" s="5">
        <v>5.75</v>
      </c>
      <c r="O37" s="5">
        <v>3.45</v>
      </c>
      <c r="P37" s="2">
        <v>3.0467654026036701</v>
      </c>
      <c r="Q37" s="2">
        <v>3.7482755981332301</v>
      </c>
      <c r="R37" s="2">
        <v>2.71200148282401</v>
      </c>
      <c r="S37" s="2">
        <v>2.9147979770369101</v>
      </c>
    </row>
    <row r="38" spans="2:19" x14ac:dyDescent="0.3">
      <c r="B38" s="4" t="s">
        <v>32</v>
      </c>
      <c r="C38" s="4">
        <v>292</v>
      </c>
      <c r="D38" s="4">
        <v>15.4533775503907</v>
      </c>
      <c r="E38" s="4">
        <v>-42.457805874005501</v>
      </c>
      <c r="F38" s="4">
        <f t="shared" si="2"/>
        <v>45.182653279213859</v>
      </c>
      <c r="G38" s="4">
        <v>450</v>
      </c>
      <c r="H38" s="4">
        <f t="shared" si="3"/>
        <v>45.182653279213859</v>
      </c>
      <c r="I38" s="4">
        <v>0</v>
      </c>
      <c r="J38" s="4">
        <v>0</v>
      </c>
      <c r="K38" s="4">
        <v>450</v>
      </c>
      <c r="L38" s="4">
        <v>30</v>
      </c>
      <c r="M38" s="6">
        <v>1</v>
      </c>
      <c r="N38" s="6">
        <v>2.2999999999999998</v>
      </c>
      <c r="O38" s="6">
        <v>1.9</v>
      </c>
      <c r="P38" s="4">
        <v>3.2737567048953098</v>
      </c>
      <c r="Q38" s="4">
        <v>3.78000023607254</v>
      </c>
      <c r="R38" s="4">
        <v>2.33941072438994</v>
      </c>
      <c r="S38" s="4">
        <v>3.0857947929267602</v>
      </c>
    </row>
    <row r="40" spans="2:19" x14ac:dyDescent="0.3">
      <c r="B40" s="1" t="s">
        <v>35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19" ht="43.2" x14ac:dyDescent="0.3">
      <c r="B41" s="2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  <c r="H41" s="3" t="s">
        <v>7</v>
      </c>
      <c r="I41" s="3" t="s">
        <v>8</v>
      </c>
      <c r="J41" s="3" t="s">
        <v>9</v>
      </c>
      <c r="K41" s="3" t="s">
        <v>10</v>
      </c>
      <c r="L41" s="3" t="s">
        <v>11</v>
      </c>
      <c r="M41" s="3" t="s">
        <v>12</v>
      </c>
      <c r="N41" s="2" t="s">
        <v>13</v>
      </c>
      <c r="O41" s="2" t="s">
        <v>14</v>
      </c>
      <c r="P41" s="2" t="s">
        <v>15</v>
      </c>
      <c r="Q41" s="2" t="s">
        <v>16</v>
      </c>
      <c r="R41" s="2" t="s">
        <v>17</v>
      </c>
      <c r="S41" s="2" t="s">
        <v>18</v>
      </c>
    </row>
    <row r="42" spans="2:19" x14ac:dyDescent="0.3">
      <c r="B42" s="2" t="s">
        <v>19</v>
      </c>
      <c r="C42" s="2">
        <v>10</v>
      </c>
      <c r="D42" s="2">
        <v>9.5498733414720398</v>
      </c>
      <c r="E42" s="2">
        <v>-26.238061364346098</v>
      </c>
      <c r="F42" s="2">
        <f>SQRT(D42^2+E42^2)</f>
        <v>27.921961696796121</v>
      </c>
      <c r="G42" s="2">
        <v>450</v>
      </c>
      <c r="H42" s="2">
        <f>F42</f>
        <v>27.921961696796121</v>
      </c>
      <c r="I42" s="2">
        <v>0</v>
      </c>
      <c r="J42" s="2">
        <v>0</v>
      </c>
      <c r="K42" s="2">
        <v>450</v>
      </c>
      <c r="L42" s="2">
        <v>30</v>
      </c>
      <c r="M42" s="5">
        <v>1</v>
      </c>
      <c r="N42" s="5">
        <v>2.2999999999999998</v>
      </c>
      <c r="O42" s="5">
        <v>1.9</v>
      </c>
      <c r="P42" s="2">
        <v>3.6967361401013599</v>
      </c>
      <c r="Q42" s="2">
        <v>4.0966965301523803</v>
      </c>
      <c r="R42" s="2">
        <v>2.3732506447873001</v>
      </c>
      <c r="S42" s="2">
        <v>3.4588308042442799</v>
      </c>
    </row>
    <row r="43" spans="2:19" x14ac:dyDescent="0.3">
      <c r="B43" s="2" t="s">
        <v>20</v>
      </c>
      <c r="C43" s="2">
        <v>15</v>
      </c>
      <c r="D43" s="2">
        <v>14.324810012208101</v>
      </c>
      <c r="E43" s="2">
        <v>-39.357092046519199</v>
      </c>
      <c r="F43" s="2">
        <f t="shared" ref="F43:F57" si="4">SQRT(D43^2+E43^2)</f>
        <v>41.882942545194247</v>
      </c>
      <c r="G43" s="2">
        <v>450</v>
      </c>
      <c r="H43" s="2">
        <f t="shared" ref="H43:H57" si="5">F43</f>
        <v>41.882942545194247</v>
      </c>
      <c r="I43" s="2">
        <v>0</v>
      </c>
      <c r="J43" s="2">
        <v>0</v>
      </c>
      <c r="K43" s="2">
        <v>450</v>
      </c>
      <c r="L43" s="2">
        <v>38</v>
      </c>
      <c r="M43" s="5">
        <v>0.15</v>
      </c>
      <c r="N43" s="5">
        <v>4.5999999999999996</v>
      </c>
      <c r="O43" s="5">
        <v>2.75</v>
      </c>
      <c r="P43" s="2">
        <v>4.7061542754609702</v>
      </c>
      <c r="Q43" s="2">
        <v>5.5437593237806801</v>
      </c>
      <c r="R43" s="2">
        <v>3.56657308301524</v>
      </c>
      <c r="S43" s="2">
        <v>4.4535518878905398</v>
      </c>
    </row>
    <row r="44" spans="2:19" x14ac:dyDescent="0.3">
      <c r="B44" s="2" t="s">
        <v>21</v>
      </c>
      <c r="C44" s="2">
        <v>36</v>
      </c>
      <c r="D44" s="2">
        <v>34.379544029299403</v>
      </c>
      <c r="E44" s="2">
        <v>-94.457020911645998</v>
      </c>
      <c r="F44" s="2">
        <f t="shared" si="4"/>
        <v>100.5190621084661</v>
      </c>
      <c r="G44" s="2">
        <v>450</v>
      </c>
      <c r="H44" s="2">
        <f t="shared" si="5"/>
        <v>100.5190621084661</v>
      </c>
      <c r="I44" s="2">
        <v>0</v>
      </c>
      <c r="J44" s="2">
        <v>0</v>
      </c>
      <c r="K44" s="2">
        <v>450</v>
      </c>
      <c r="L44" s="2">
        <v>40</v>
      </c>
      <c r="M44" s="5">
        <v>0.9</v>
      </c>
      <c r="N44" s="5">
        <v>2.14</v>
      </c>
      <c r="O44" s="5">
        <v>3</v>
      </c>
      <c r="P44" s="2">
        <v>4.50500529385757</v>
      </c>
      <c r="Q44" s="2">
        <v>5.3559029321389504</v>
      </c>
      <c r="R44" s="2">
        <v>3.5153118504651202</v>
      </c>
      <c r="S44" s="2">
        <v>4.2715501433674401</v>
      </c>
    </row>
    <row r="45" spans="2:19" x14ac:dyDescent="0.3">
      <c r="B45" s="2" t="s">
        <v>22</v>
      </c>
      <c r="C45" s="2">
        <v>56</v>
      </c>
      <c r="D45" s="2">
        <v>53.479290712243497</v>
      </c>
      <c r="E45" s="2">
        <v>-146.93314364033799</v>
      </c>
      <c r="F45" s="2">
        <f t="shared" si="4"/>
        <v>156.36298550205817</v>
      </c>
      <c r="G45" s="2">
        <v>450</v>
      </c>
      <c r="H45" s="2">
        <f t="shared" si="5"/>
        <v>156.36298550205817</v>
      </c>
      <c r="I45" s="2">
        <v>0</v>
      </c>
      <c r="J45" s="2">
        <v>0</v>
      </c>
      <c r="K45" s="2">
        <v>450</v>
      </c>
      <c r="L45" s="2">
        <v>40</v>
      </c>
      <c r="M45" s="5">
        <v>1.5</v>
      </c>
      <c r="N45" s="5">
        <v>1.9</v>
      </c>
      <c r="O45" s="5">
        <v>1.8</v>
      </c>
      <c r="P45" s="2">
        <v>4.9395273783848301</v>
      </c>
      <c r="Q45" s="2">
        <v>6.1691117850707</v>
      </c>
      <c r="R45" s="2">
        <v>4.8866727277781798</v>
      </c>
      <c r="S45" s="2">
        <v>4.7628605758901301</v>
      </c>
    </row>
    <row r="46" spans="2:19" x14ac:dyDescent="0.3">
      <c r="B46" s="2" t="s">
        <v>23</v>
      </c>
      <c r="C46" s="2">
        <v>106</v>
      </c>
      <c r="D46" s="2">
        <v>101.228657419604</v>
      </c>
      <c r="E46" s="2">
        <v>-278.123450462069</v>
      </c>
      <c r="F46" s="2">
        <f t="shared" si="4"/>
        <v>295.97279398603939</v>
      </c>
      <c r="G46" s="2">
        <v>450</v>
      </c>
      <c r="H46" s="2">
        <f t="shared" si="5"/>
        <v>295.97279398603939</v>
      </c>
      <c r="I46" s="2">
        <v>0</v>
      </c>
      <c r="J46" s="2">
        <v>0</v>
      </c>
      <c r="K46" s="2">
        <v>450</v>
      </c>
      <c r="L46" s="2">
        <v>50</v>
      </c>
      <c r="M46" s="5">
        <v>0.9</v>
      </c>
      <c r="N46" s="5">
        <v>2.14</v>
      </c>
      <c r="O46" s="5">
        <v>3</v>
      </c>
      <c r="P46" s="2">
        <v>5.0314666121857199</v>
      </c>
      <c r="Q46" s="2">
        <v>6.2758828479550601</v>
      </c>
      <c r="R46" s="2">
        <v>5.29695815799945</v>
      </c>
      <c r="S46" s="2">
        <v>4.8789852692447404</v>
      </c>
    </row>
    <row r="47" spans="2:19" x14ac:dyDescent="0.3">
      <c r="B47" s="2" t="s">
        <v>24</v>
      </c>
      <c r="C47" s="2">
        <v>126</v>
      </c>
      <c r="D47" s="2">
        <v>120.32840410254801</v>
      </c>
      <c r="E47" s="2">
        <v>-330.59957319076102</v>
      </c>
      <c r="F47" s="2">
        <f t="shared" si="4"/>
        <v>351.81671737963143</v>
      </c>
      <c r="G47" s="2">
        <v>450</v>
      </c>
      <c r="H47" s="2">
        <f t="shared" si="5"/>
        <v>351.81671737963143</v>
      </c>
      <c r="I47" s="2">
        <v>0</v>
      </c>
      <c r="J47" s="2">
        <v>0</v>
      </c>
      <c r="K47" s="2">
        <v>450</v>
      </c>
      <c r="L47" s="2">
        <v>50</v>
      </c>
      <c r="M47" s="5">
        <v>1.5</v>
      </c>
      <c r="N47" s="5">
        <v>2.1</v>
      </c>
      <c r="O47" s="5">
        <v>1.9</v>
      </c>
      <c r="P47" s="2">
        <v>5.07055383050883</v>
      </c>
      <c r="Q47" s="2">
        <v>6.10193582723275</v>
      </c>
      <c r="R47" s="2">
        <v>5.6838983645927801</v>
      </c>
      <c r="S47" s="2">
        <v>4.9685404306469501</v>
      </c>
    </row>
    <row r="48" spans="2:19" x14ac:dyDescent="0.3">
      <c r="B48" s="2" t="s">
        <v>25</v>
      </c>
      <c r="C48" s="2">
        <v>141</v>
      </c>
      <c r="D48" s="2">
        <v>134.653214114756</v>
      </c>
      <c r="E48" s="2">
        <v>-369.95666523727999</v>
      </c>
      <c r="F48" s="2">
        <f t="shared" si="4"/>
        <v>393.69965992482543</v>
      </c>
      <c r="G48" s="2">
        <v>450</v>
      </c>
      <c r="H48" s="2">
        <f t="shared" si="5"/>
        <v>393.69965992482543</v>
      </c>
      <c r="I48" s="2">
        <v>0</v>
      </c>
      <c r="J48" s="2">
        <v>0</v>
      </c>
      <c r="K48" s="2">
        <v>450</v>
      </c>
      <c r="L48" s="2">
        <v>55</v>
      </c>
      <c r="M48" s="5">
        <v>0.9</v>
      </c>
      <c r="N48" s="5">
        <v>2.14</v>
      </c>
      <c r="O48" s="5">
        <v>3</v>
      </c>
      <c r="P48" s="7">
        <v>5.4750843183317297</v>
      </c>
      <c r="Q48" s="7">
        <v>6.7390900981491502</v>
      </c>
      <c r="R48" s="7">
        <v>6.0189001310859496</v>
      </c>
      <c r="S48" s="7">
        <v>5.3386765903606204</v>
      </c>
    </row>
    <row r="49" spans="2:19" x14ac:dyDescent="0.3">
      <c r="B49" s="2" t="s">
        <v>26</v>
      </c>
      <c r="C49" s="2">
        <v>156</v>
      </c>
      <c r="D49" s="2">
        <v>148.97802412696399</v>
      </c>
      <c r="E49" s="2">
        <v>-409.31375728379902</v>
      </c>
      <c r="F49" s="2">
        <f t="shared" si="4"/>
        <v>435.58260247001948</v>
      </c>
      <c r="G49" s="2">
        <v>450</v>
      </c>
      <c r="H49" s="2">
        <f t="shared" si="5"/>
        <v>435.58260247001948</v>
      </c>
      <c r="I49" s="2">
        <v>0</v>
      </c>
      <c r="J49" s="2">
        <v>0</v>
      </c>
      <c r="K49" s="2">
        <v>450</v>
      </c>
      <c r="L49" s="2">
        <v>55</v>
      </c>
      <c r="M49" s="5">
        <v>1.5</v>
      </c>
      <c r="N49" s="5">
        <v>2.1800000000000002</v>
      </c>
      <c r="O49" s="5">
        <v>1.45</v>
      </c>
      <c r="P49" s="2">
        <v>5.7389945689147899</v>
      </c>
      <c r="Q49" s="2">
        <v>6.5781498582689499</v>
      </c>
      <c r="R49" s="2">
        <v>6.3947140497094201</v>
      </c>
      <c r="S49" s="2">
        <v>5.6625924476534903</v>
      </c>
    </row>
    <row r="50" spans="2:19" x14ac:dyDescent="0.3">
      <c r="B50" s="2" t="s">
        <v>27</v>
      </c>
      <c r="C50" s="2">
        <v>186</v>
      </c>
      <c r="D50" s="2">
        <v>177.62764415138</v>
      </c>
      <c r="E50" s="2">
        <v>-488.02794137683799</v>
      </c>
      <c r="F50" s="2">
        <f t="shared" si="4"/>
        <v>519.34848756040844</v>
      </c>
      <c r="G50" s="2">
        <v>450</v>
      </c>
      <c r="H50" s="2">
        <f t="shared" si="5"/>
        <v>519.34848756040844</v>
      </c>
      <c r="I50" s="2">
        <v>0</v>
      </c>
      <c r="J50" s="2">
        <v>0</v>
      </c>
      <c r="K50" s="2">
        <v>450</v>
      </c>
      <c r="L50" s="2">
        <v>55</v>
      </c>
      <c r="M50" s="5">
        <v>1.5</v>
      </c>
      <c r="N50" s="5">
        <v>2.1800000000000002</v>
      </c>
      <c r="O50" s="5">
        <v>1.45</v>
      </c>
      <c r="P50" s="2">
        <v>4.9369025793364099</v>
      </c>
      <c r="Q50" s="2">
        <v>5.5682445247631502</v>
      </c>
      <c r="R50" s="2">
        <v>5.4561954532448604</v>
      </c>
      <c r="S50" s="2">
        <v>4.8802588662929702</v>
      </c>
    </row>
    <row r="51" spans="2:19" x14ac:dyDescent="0.3">
      <c r="B51" s="2" t="s">
        <v>28</v>
      </c>
      <c r="C51" s="2">
        <v>198</v>
      </c>
      <c r="D51" s="2">
        <v>189.087492161146</v>
      </c>
      <c r="E51" s="2">
        <v>-519.51361501405302</v>
      </c>
      <c r="F51" s="2">
        <f t="shared" si="4"/>
        <v>552.85484159656335</v>
      </c>
      <c r="G51" s="2">
        <v>450</v>
      </c>
      <c r="H51" s="2">
        <f t="shared" si="5"/>
        <v>552.85484159656335</v>
      </c>
      <c r="I51" s="2">
        <v>0</v>
      </c>
      <c r="J51" s="2">
        <v>0</v>
      </c>
      <c r="K51" s="2">
        <v>450</v>
      </c>
      <c r="L51" s="2">
        <v>55</v>
      </c>
      <c r="M51" s="5">
        <v>0.9</v>
      </c>
      <c r="N51" s="5">
        <v>2.14</v>
      </c>
      <c r="O51" s="5">
        <v>3</v>
      </c>
      <c r="P51" s="2">
        <v>4.2592046993532398</v>
      </c>
      <c r="Q51" s="2">
        <v>5.1065737962929196</v>
      </c>
      <c r="R51" s="2">
        <v>4.7797122117462898</v>
      </c>
      <c r="S51" s="2">
        <v>4.1761959385766501</v>
      </c>
    </row>
    <row r="52" spans="2:19" x14ac:dyDescent="0.3">
      <c r="B52" s="2" t="s">
        <v>29</v>
      </c>
      <c r="C52" s="2">
        <v>211</v>
      </c>
      <c r="D52" s="2">
        <v>165.45155564100301</v>
      </c>
      <c r="E52" s="2">
        <v>-454.57441313729601</v>
      </c>
      <c r="F52" s="2">
        <f t="shared" si="4"/>
        <v>483.74798639699264</v>
      </c>
      <c r="G52" s="2">
        <v>450</v>
      </c>
      <c r="H52" s="2">
        <f t="shared" si="5"/>
        <v>483.74798639699264</v>
      </c>
      <c r="I52" s="2">
        <v>0</v>
      </c>
      <c r="J52" s="2">
        <v>0</v>
      </c>
      <c r="K52" s="2">
        <v>450</v>
      </c>
      <c r="L52" s="2">
        <v>50</v>
      </c>
      <c r="M52" s="5">
        <v>1.5</v>
      </c>
      <c r="N52" s="5">
        <v>2.1</v>
      </c>
      <c r="O52" s="5">
        <v>1.9</v>
      </c>
      <c r="P52" s="2">
        <v>3.9414892666668102</v>
      </c>
      <c r="Q52" s="2">
        <v>4.6055013925285397</v>
      </c>
      <c r="R52" s="2">
        <v>4.42085584907925</v>
      </c>
      <c r="S52" s="2">
        <v>3.8795712444241999</v>
      </c>
    </row>
    <row r="53" spans="2:19" x14ac:dyDescent="0.3">
      <c r="B53" s="2" t="s">
        <v>30</v>
      </c>
      <c r="C53" s="2">
        <v>223</v>
      </c>
      <c r="D53" s="2">
        <v>143.63376808394801</v>
      </c>
      <c r="E53" s="2">
        <v>-394.63053448182899</v>
      </c>
      <c r="F53" s="2">
        <f t="shared" si="4"/>
        <v>419.95704313585145</v>
      </c>
      <c r="G53" s="2">
        <v>450</v>
      </c>
      <c r="H53" s="2">
        <f t="shared" si="5"/>
        <v>419.95704313585145</v>
      </c>
      <c r="I53" s="2">
        <v>0</v>
      </c>
      <c r="J53" s="2">
        <v>0</v>
      </c>
      <c r="K53" s="2">
        <v>450</v>
      </c>
      <c r="L53" s="2">
        <v>50</v>
      </c>
      <c r="M53" s="5">
        <v>0.9</v>
      </c>
      <c r="N53" s="5">
        <v>2.14</v>
      </c>
      <c r="O53" s="5">
        <v>3</v>
      </c>
      <c r="P53" s="2">
        <v>3.9669460732444302</v>
      </c>
      <c r="Q53" s="2">
        <v>4.8665807490644797</v>
      </c>
      <c r="R53" s="2">
        <v>4.3825122537516403</v>
      </c>
      <c r="S53" s="2">
        <v>3.8715492974893002</v>
      </c>
    </row>
    <row r="54" spans="2:19" x14ac:dyDescent="0.3">
      <c r="B54" s="2" t="s">
        <v>20</v>
      </c>
      <c r="C54" s="2">
        <v>237</v>
      </c>
      <c r="D54" s="2">
        <v>118.179682600717</v>
      </c>
      <c r="E54" s="2">
        <v>-324.69600938378301</v>
      </c>
      <c r="F54" s="2">
        <f t="shared" si="4"/>
        <v>345.53427599785221</v>
      </c>
      <c r="G54" s="2">
        <v>450</v>
      </c>
      <c r="H54" s="2">
        <f t="shared" si="5"/>
        <v>345.53427599785221</v>
      </c>
      <c r="I54" s="2">
        <v>0</v>
      </c>
      <c r="J54" s="2">
        <v>0</v>
      </c>
      <c r="K54" s="2">
        <v>450</v>
      </c>
      <c r="L54" s="2">
        <v>48</v>
      </c>
      <c r="M54" s="5">
        <v>0.15</v>
      </c>
      <c r="N54" s="5">
        <v>4.5</v>
      </c>
      <c r="O54" s="5">
        <v>2.5</v>
      </c>
      <c r="P54" s="2">
        <v>2.72588333088104</v>
      </c>
      <c r="Q54" s="2">
        <v>3.1608467001462999</v>
      </c>
      <c r="R54" s="2">
        <v>3.0508856635403299</v>
      </c>
      <c r="S54" s="2">
        <v>2.6857471360091298</v>
      </c>
    </row>
    <row r="55" spans="2:19" x14ac:dyDescent="0.3">
      <c r="B55" s="2" t="s">
        <v>31</v>
      </c>
      <c r="C55" s="2">
        <v>266</v>
      </c>
      <c r="D55" s="2">
        <v>65.453362671166005</v>
      </c>
      <c r="E55" s="2">
        <v>-179.83163596640301</v>
      </c>
      <c r="F55" s="2">
        <f t="shared" si="4"/>
        <v>191.37282978342583</v>
      </c>
      <c r="G55" s="2">
        <v>450</v>
      </c>
      <c r="H55" s="2">
        <f t="shared" si="5"/>
        <v>191.37282978342583</v>
      </c>
      <c r="I55" s="2">
        <v>0</v>
      </c>
      <c r="J55" s="2">
        <v>0</v>
      </c>
      <c r="K55" s="2">
        <v>450</v>
      </c>
      <c r="L55" s="2">
        <v>41.7</v>
      </c>
      <c r="M55" s="5">
        <v>1</v>
      </c>
      <c r="N55" s="5">
        <v>2.2999999999999998</v>
      </c>
      <c r="O55" s="5">
        <v>1.9</v>
      </c>
      <c r="P55" s="2">
        <v>4.3642186100996296</v>
      </c>
      <c r="Q55" s="2">
        <v>5.4357287502716201</v>
      </c>
      <c r="R55" s="2">
        <v>4.6367677099035696</v>
      </c>
      <c r="S55" s="2">
        <v>4.2361365058742004</v>
      </c>
    </row>
    <row r="56" spans="2:19" x14ac:dyDescent="0.3">
      <c r="B56" s="2" t="s">
        <v>20</v>
      </c>
      <c r="C56" s="2">
        <v>286</v>
      </c>
      <c r="D56" s="2">
        <v>29.090383409407099</v>
      </c>
      <c r="E56" s="2">
        <v>-79.925171540623396</v>
      </c>
      <c r="F56" s="2">
        <f t="shared" si="4"/>
        <v>85.054591014855774</v>
      </c>
      <c r="G56" s="2">
        <v>450</v>
      </c>
      <c r="H56" s="2">
        <f t="shared" si="5"/>
        <v>85.054591014855774</v>
      </c>
      <c r="I56" s="2">
        <v>0</v>
      </c>
      <c r="J56" s="2">
        <v>0</v>
      </c>
      <c r="K56" s="2">
        <v>450</v>
      </c>
      <c r="L56" s="2">
        <v>38</v>
      </c>
      <c r="M56" s="5">
        <v>0.15</v>
      </c>
      <c r="N56" s="5">
        <v>5.75</v>
      </c>
      <c r="O56" s="5">
        <v>3.45</v>
      </c>
      <c r="P56" s="2">
        <v>2.8090588131538001</v>
      </c>
      <c r="Q56" s="2">
        <v>3.4856192953176901</v>
      </c>
      <c r="R56" s="2">
        <v>2.6218515806962501</v>
      </c>
      <c r="S56" s="2">
        <v>2.6964997459042399</v>
      </c>
    </row>
    <row r="57" spans="2:19" x14ac:dyDescent="0.3">
      <c r="B57" s="4" t="s">
        <v>32</v>
      </c>
      <c r="C57" s="4">
        <v>292</v>
      </c>
      <c r="D57" s="4">
        <v>18.181489630879501</v>
      </c>
      <c r="E57" s="4">
        <v>-49.953232212889802</v>
      </c>
      <c r="F57" s="4">
        <f t="shared" si="4"/>
        <v>53.159119384285049</v>
      </c>
      <c r="G57" s="4">
        <v>450</v>
      </c>
      <c r="H57" s="4">
        <f t="shared" si="5"/>
        <v>53.159119384285049</v>
      </c>
      <c r="I57" s="4">
        <v>0</v>
      </c>
      <c r="J57" s="4">
        <v>0</v>
      </c>
      <c r="K57" s="4">
        <v>450</v>
      </c>
      <c r="L57" s="4">
        <v>30</v>
      </c>
      <c r="M57" s="6">
        <v>1</v>
      </c>
      <c r="N57" s="6">
        <v>2.2999999999999998</v>
      </c>
      <c r="O57" s="6">
        <v>1.9</v>
      </c>
      <c r="P57" s="4">
        <v>3.1093488434494301</v>
      </c>
      <c r="Q57" s="4">
        <v>3.64357679834615</v>
      </c>
      <c r="R57" s="4">
        <v>2.3190898256428101</v>
      </c>
      <c r="S57" s="4">
        <v>2.9393014463126099</v>
      </c>
    </row>
    <row r="59" spans="2:19" x14ac:dyDescent="0.3">
      <c r="B59" s="1" t="s">
        <v>36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2:19" ht="43.2" x14ac:dyDescent="0.3">
      <c r="B60" s="2" t="s">
        <v>1</v>
      </c>
      <c r="C60" s="3" t="s">
        <v>2</v>
      </c>
      <c r="D60" s="3" t="s">
        <v>3</v>
      </c>
      <c r="E60" s="3" t="s">
        <v>4</v>
      </c>
      <c r="F60" s="3" t="s">
        <v>5</v>
      </c>
      <c r="G60" s="3" t="s">
        <v>6</v>
      </c>
      <c r="H60" s="3" t="s">
        <v>7</v>
      </c>
      <c r="I60" s="3" t="s">
        <v>8</v>
      </c>
      <c r="J60" s="3" t="s">
        <v>9</v>
      </c>
      <c r="K60" s="3" t="s">
        <v>10</v>
      </c>
      <c r="L60" s="3" t="s">
        <v>11</v>
      </c>
      <c r="M60" s="3" t="s">
        <v>12</v>
      </c>
      <c r="N60" s="2" t="s">
        <v>13</v>
      </c>
      <c r="O60" s="2" t="s">
        <v>14</v>
      </c>
      <c r="P60" s="2" t="s">
        <v>15</v>
      </c>
      <c r="Q60" s="2" t="s">
        <v>16</v>
      </c>
      <c r="R60" s="2" t="s">
        <v>17</v>
      </c>
      <c r="S60" s="2" t="s">
        <v>18</v>
      </c>
    </row>
    <row r="61" spans="2:19" x14ac:dyDescent="0.3">
      <c r="B61" s="2" t="s">
        <v>19</v>
      </c>
      <c r="C61" s="2">
        <v>10</v>
      </c>
      <c r="D61" s="2">
        <v>6.5465008858167897</v>
      </c>
      <c r="E61" s="2">
        <v>-17.986363360221301</v>
      </c>
      <c r="F61" s="2">
        <f>SQRT(D61^2+E61^2)</f>
        <v>19.140688095622668</v>
      </c>
      <c r="G61" s="2">
        <v>450</v>
      </c>
      <c r="H61" s="2">
        <f>F61</f>
        <v>19.140688095622668</v>
      </c>
      <c r="I61" s="2">
        <v>0</v>
      </c>
      <c r="J61" s="2">
        <v>0</v>
      </c>
      <c r="K61" s="2">
        <v>450</v>
      </c>
      <c r="L61" s="2">
        <v>30</v>
      </c>
      <c r="M61" s="5">
        <v>1</v>
      </c>
      <c r="N61" s="5">
        <v>2.2999999999999998</v>
      </c>
      <c r="O61" s="5">
        <v>1.9</v>
      </c>
      <c r="P61" s="2">
        <v>3.95682324388051</v>
      </c>
      <c r="Q61" s="2">
        <v>4.2693977402130301</v>
      </c>
      <c r="R61" s="2">
        <v>2.3846570649055501</v>
      </c>
      <c r="S61" s="2">
        <v>3.68549273987218</v>
      </c>
    </row>
    <row r="62" spans="2:19" x14ac:dyDescent="0.3">
      <c r="B62" s="2" t="s">
        <v>20</v>
      </c>
      <c r="C62" s="2">
        <v>15</v>
      </c>
      <c r="D62" s="2">
        <v>9.8197513287251805</v>
      </c>
      <c r="E62" s="2">
        <v>-26.979545040331999</v>
      </c>
      <c r="F62" s="2">
        <f t="shared" ref="F62:F76" si="6">SQRT(D62^2+E62^2)</f>
        <v>28.711032143434043</v>
      </c>
      <c r="G62" s="2">
        <v>450</v>
      </c>
      <c r="H62" s="2">
        <f t="shared" ref="H62:H76" si="7">F62</f>
        <v>28.711032143434043</v>
      </c>
      <c r="I62" s="2">
        <v>0</v>
      </c>
      <c r="J62" s="2">
        <v>0</v>
      </c>
      <c r="K62" s="2">
        <v>450</v>
      </c>
      <c r="L62" s="2">
        <v>38</v>
      </c>
      <c r="M62" s="5">
        <v>0.15</v>
      </c>
      <c r="N62" s="5">
        <v>4.5999999999999996</v>
      </c>
      <c r="O62" s="5">
        <v>2.75</v>
      </c>
      <c r="P62" s="2">
        <v>5.2840031016843696</v>
      </c>
      <c r="Q62" s="2">
        <v>6.0161272288714001</v>
      </c>
      <c r="R62" s="2">
        <v>3.634089585665</v>
      </c>
      <c r="S62" s="2">
        <v>4.9676453902780802</v>
      </c>
    </row>
    <row r="63" spans="2:19" x14ac:dyDescent="0.3">
      <c r="B63" s="2" t="s">
        <v>21</v>
      </c>
      <c r="C63" s="2">
        <v>36</v>
      </c>
      <c r="D63" s="2">
        <v>23.5674031889404</v>
      </c>
      <c r="E63" s="2">
        <v>-64.750908096796707</v>
      </c>
      <c r="F63" s="2">
        <f t="shared" si="6"/>
        <v>68.90647714424162</v>
      </c>
      <c r="G63" s="2">
        <v>450</v>
      </c>
      <c r="H63" s="2">
        <f t="shared" si="7"/>
        <v>68.90647714424162</v>
      </c>
      <c r="I63" s="2">
        <v>0</v>
      </c>
      <c r="J63" s="2">
        <v>0</v>
      </c>
      <c r="K63" s="2">
        <v>450</v>
      </c>
      <c r="L63" s="2">
        <v>40</v>
      </c>
      <c r="M63" s="5">
        <v>0.9</v>
      </c>
      <c r="N63" s="5">
        <v>2.14</v>
      </c>
      <c r="O63" s="5">
        <v>3</v>
      </c>
      <c r="P63" s="2">
        <v>5.1009464578805304</v>
      </c>
      <c r="Q63" s="2">
        <v>5.86123322612075</v>
      </c>
      <c r="R63" s="2">
        <v>3.5963161184344998</v>
      </c>
      <c r="S63" s="2">
        <v>4.8036789874260997</v>
      </c>
    </row>
    <row r="64" spans="2:19" x14ac:dyDescent="0.3">
      <c r="B64" s="2" t="s">
        <v>22</v>
      </c>
      <c r="C64" s="2">
        <v>56</v>
      </c>
      <c r="D64" s="2">
        <v>36.660404960573999</v>
      </c>
      <c r="E64" s="2">
        <v>-100.723634817239</v>
      </c>
      <c r="F64" s="2">
        <f t="shared" si="6"/>
        <v>107.18785333548666</v>
      </c>
      <c r="G64" s="2">
        <v>450</v>
      </c>
      <c r="H64" s="2">
        <f t="shared" si="7"/>
        <v>107.18785333548666</v>
      </c>
      <c r="I64" s="2">
        <v>0</v>
      </c>
      <c r="J64" s="2">
        <v>0</v>
      </c>
      <c r="K64" s="2">
        <v>450</v>
      </c>
      <c r="L64" s="2">
        <v>40</v>
      </c>
      <c r="M64" s="5">
        <v>1.5</v>
      </c>
      <c r="N64" s="5">
        <v>1.9</v>
      </c>
      <c r="O64" s="5">
        <v>1.8</v>
      </c>
      <c r="P64" s="2">
        <v>6.0263246042293499</v>
      </c>
      <c r="Q64" s="2">
        <v>7.4143152701738</v>
      </c>
      <c r="R64" s="2">
        <v>5.3657441267814798</v>
      </c>
      <c r="S64" s="2">
        <v>5.7654180393192602</v>
      </c>
    </row>
    <row r="65" spans="2:19" x14ac:dyDescent="0.3">
      <c r="B65" s="2" t="s">
        <v>23</v>
      </c>
      <c r="C65" s="2">
        <v>106</v>
      </c>
      <c r="D65" s="2">
        <v>69.392909389657902</v>
      </c>
      <c r="E65" s="2">
        <v>-190.65545161834601</v>
      </c>
      <c r="F65" s="2">
        <f t="shared" si="6"/>
        <v>202.89129381360047</v>
      </c>
      <c r="G65" s="2">
        <v>450</v>
      </c>
      <c r="H65" s="2">
        <f t="shared" si="7"/>
        <v>202.89129381360047</v>
      </c>
      <c r="I65" s="2">
        <v>0</v>
      </c>
      <c r="J65" s="2">
        <v>0</v>
      </c>
      <c r="K65" s="2">
        <v>450</v>
      </c>
      <c r="L65" s="2">
        <v>50</v>
      </c>
      <c r="M65" s="5">
        <v>0.9</v>
      </c>
      <c r="N65" s="5">
        <v>2.14</v>
      </c>
      <c r="O65" s="5">
        <v>3</v>
      </c>
      <c r="P65" s="2">
        <v>6.30085342814602</v>
      </c>
      <c r="Q65" s="2">
        <v>7.8526756452897102</v>
      </c>
      <c r="R65" s="2">
        <v>6.0803734966887797</v>
      </c>
      <c r="S65" s="2">
        <v>6.06354214697829</v>
      </c>
    </row>
    <row r="66" spans="2:19" x14ac:dyDescent="0.3">
      <c r="B66" s="2" t="s">
        <v>24</v>
      </c>
      <c r="C66" s="2">
        <v>126</v>
      </c>
      <c r="D66" s="2">
        <v>82.485911161291497</v>
      </c>
      <c r="E66" s="2">
        <v>-226.62817833878901</v>
      </c>
      <c r="F66" s="2">
        <f t="shared" si="6"/>
        <v>241.1726700048462</v>
      </c>
      <c r="G66" s="2">
        <v>450</v>
      </c>
      <c r="H66" s="2">
        <f t="shared" si="7"/>
        <v>241.1726700048462</v>
      </c>
      <c r="I66" s="2">
        <v>0</v>
      </c>
      <c r="J66" s="2">
        <v>0</v>
      </c>
      <c r="K66" s="2">
        <v>450</v>
      </c>
      <c r="L66" s="2">
        <v>50</v>
      </c>
      <c r="M66" s="5">
        <v>1.5</v>
      </c>
      <c r="N66" s="5">
        <v>2.1</v>
      </c>
      <c r="O66" s="5">
        <v>1.9</v>
      </c>
      <c r="P66" s="2">
        <v>6.6738569450907699</v>
      </c>
      <c r="Q66" s="2">
        <v>8.2529983471361703</v>
      </c>
      <c r="R66" s="2">
        <v>7.2695502269024601</v>
      </c>
      <c r="S66" s="2">
        <v>6.4982481822957201</v>
      </c>
    </row>
    <row r="67" spans="2:19" x14ac:dyDescent="0.3">
      <c r="B67" s="2" t="s">
        <v>25</v>
      </c>
      <c r="C67" s="2">
        <v>141</v>
      </c>
      <c r="D67" s="2">
        <v>92.305662490016701</v>
      </c>
      <c r="E67" s="2">
        <v>-253.60772337912101</v>
      </c>
      <c r="F67" s="2">
        <f t="shared" si="6"/>
        <v>269.88370214828024</v>
      </c>
      <c r="G67" s="2">
        <v>450</v>
      </c>
      <c r="H67" s="2">
        <f t="shared" si="7"/>
        <v>269.88370214828024</v>
      </c>
      <c r="I67" s="2">
        <v>0</v>
      </c>
      <c r="J67" s="2">
        <v>0</v>
      </c>
      <c r="K67" s="2">
        <v>450</v>
      </c>
      <c r="L67" s="2">
        <v>55</v>
      </c>
      <c r="M67" s="5">
        <v>0.9</v>
      </c>
      <c r="N67" s="5">
        <v>2.14</v>
      </c>
      <c r="O67" s="5">
        <v>3</v>
      </c>
      <c r="P67" s="7">
        <v>7.0381462761304299</v>
      </c>
      <c r="Q67" s="7">
        <v>8.7921062448485401</v>
      </c>
      <c r="R67" s="7">
        <v>7.2960560045619198</v>
      </c>
      <c r="S67" s="7">
        <v>6.8143278368356199</v>
      </c>
    </row>
    <row r="68" spans="2:19" x14ac:dyDescent="0.3">
      <c r="B68" s="2" t="s">
        <v>26</v>
      </c>
      <c r="C68" s="2">
        <v>156</v>
      </c>
      <c r="D68" s="2">
        <v>102.125413818742</v>
      </c>
      <c r="E68" s="2">
        <v>-280.58726841945202</v>
      </c>
      <c r="F68" s="2">
        <f t="shared" si="6"/>
        <v>298.59473429171339</v>
      </c>
      <c r="G68" s="2">
        <v>450</v>
      </c>
      <c r="H68" s="2">
        <f t="shared" si="7"/>
        <v>298.59473429171339</v>
      </c>
      <c r="I68" s="2">
        <v>0</v>
      </c>
      <c r="J68" s="2">
        <v>0</v>
      </c>
      <c r="K68" s="2">
        <v>450</v>
      </c>
      <c r="L68" s="2">
        <v>55</v>
      </c>
      <c r="M68" s="5">
        <v>1.5</v>
      </c>
      <c r="N68" s="5">
        <v>2.1800000000000002</v>
      </c>
      <c r="O68" s="5">
        <v>1.45</v>
      </c>
      <c r="P68" s="2">
        <v>7.8155536760220503</v>
      </c>
      <c r="Q68" s="2">
        <v>9.2850063133526302</v>
      </c>
      <c r="R68" s="2">
        <v>8.7816709455690507</v>
      </c>
      <c r="S68" s="2">
        <v>7.6745383524061399</v>
      </c>
    </row>
    <row r="69" spans="2:19" x14ac:dyDescent="0.3">
      <c r="B69" s="2" t="s">
        <v>27</v>
      </c>
      <c r="C69" s="2">
        <v>186</v>
      </c>
      <c r="D69" s="2">
        <v>121.764916476192</v>
      </c>
      <c r="E69" s="2">
        <v>-334.54635850011601</v>
      </c>
      <c r="F69" s="2">
        <f t="shared" si="6"/>
        <v>356.01679857858136</v>
      </c>
      <c r="G69" s="2">
        <v>450</v>
      </c>
      <c r="H69" s="2">
        <f t="shared" si="7"/>
        <v>356.01679857858136</v>
      </c>
      <c r="I69" s="2">
        <v>0</v>
      </c>
      <c r="J69" s="2">
        <v>0</v>
      </c>
      <c r="K69" s="2">
        <v>450</v>
      </c>
      <c r="L69" s="2">
        <v>55</v>
      </c>
      <c r="M69" s="5">
        <v>1.5</v>
      </c>
      <c r="N69" s="5">
        <v>2.1800000000000002</v>
      </c>
      <c r="O69" s="5">
        <v>1.45</v>
      </c>
      <c r="P69" s="2">
        <v>6.78626747505953</v>
      </c>
      <c r="Q69" s="2">
        <v>7.9292152124055599</v>
      </c>
      <c r="R69" s="2">
        <v>7.6115474079576098</v>
      </c>
      <c r="S69" s="2">
        <v>6.6796957605486904</v>
      </c>
    </row>
    <row r="70" spans="2:19" x14ac:dyDescent="0.3">
      <c r="B70" s="2" t="s">
        <v>28</v>
      </c>
      <c r="C70" s="2">
        <v>198</v>
      </c>
      <c r="D70" s="2">
        <v>129.62071753917201</v>
      </c>
      <c r="E70" s="2">
        <v>-356.129994532382</v>
      </c>
      <c r="F70" s="2">
        <f t="shared" si="6"/>
        <v>378.9856242933289</v>
      </c>
      <c r="G70" s="2">
        <v>450</v>
      </c>
      <c r="H70" s="2">
        <f t="shared" si="7"/>
        <v>378.9856242933289</v>
      </c>
      <c r="I70" s="2">
        <v>0</v>
      </c>
      <c r="J70" s="2">
        <v>0</v>
      </c>
      <c r="K70" s="2">
        <v>450</v>
      </c>
      <c r="L70" s="2">
        <v>55</v>
      </c>
      <c r="M70" s="5">
        <v>0.9</v>
      </c>
      <c r="N70" s="5">
        <v>2.14</v>
      </c>
      <c r="O70" s="5">
        <v>3</v>
      </c>
      <c r="P70" s="2">
        <v>5.6234999981870102</v>
      </c>
      <c r="Q70" s="2">
        <v>6.9377150423117904</v>
      </c>
      <c r="R70" s="2">
        <v>6.1565118552668299</v>
      </c>
      <c r="S70" s="2">
        <v>5.4796938205439396</v>
      </c>
    </row>
    <row r="71" spans="2:19" x14ac:dyDescent="0.3">
      <c r="B71" s="2" t="s">
        <v>29</v>
      </c>
      <c r="C71" s="2">
        <v>211</v>
      </c>
      <c r="D71" s="2">
        <v>138.131168690734</v>
      </c>
      <c r="E71" s="2">
        <v>-379.51226690067</v>
      </c>
      <c r="F71" s="2">
        <f t="shared" si="6"/>
        <v>403.86851881763869</v>
      </c>
      <c r="G71" s="2">
        <v>450</v>
      </c>
      <c r="H71" s="2">
        <f t="shared" si="7"/>
        <v>403.86851881763869</v>
      </c>
      <c r="I71" s="2">
        <v>0</v>
      </c>
      <c r="J71" s="2">
        <v>0</v>
      </c>
      <c r="K71" s="2">
        <v>450</v>
      </c>
      <c r="L71" s="2">
        <v>50</v>
      </c>
      <c r="M71" s="5">
        <v>1.5</v>
      </c>
      <c r="N71" s="5">
        <v>2.1</v>
      </c>
      <c r="O71" s="5">
        <v>1.9</v>
      </c>
      <c r="P71" s="2">
        <v>4.55568122950615</v>
      </c>
      <c r="Q71" s="2">
        <v>5.4147332443117699</v>
      </c>
      <c r="R71" s="2">
        <v>5.1187332781659904</v>
      </c>
      <c r="S71" s="2">
        <v>4.4731646517024704</v>
      </c>
    </row>
    <row r="72" spans="2:19" x14ac:dyDescent="0.3">
      <c r="B72" s="2" t="s">
        <v>30</v>
      </c>
      <c r="C72" s="2">
        <v>223</v>
      </c>
      <c r="D72" s="2">
        <v>145.98696975371399</v>
      </c>
      <c r="E72" s="2">
        <v>-401.09590293293502</v>
      </c>
      <c r="F72" s="2">
        <f t="shared" si="6"/>
        <v>426.83734453238532</v>
      </c>
      <c r="G72" s="2">
        <v>450</v>
      </c>
      <c r="H72" s="2">
        <f t="shared" si="7"/>
        <v>426.83734453238532</v>
      </c>
      <c r="I72" s="2">
        <v>0</v>
      </c>
      <c r="J72" s="2">
        <v>0</v>
      </c>
      <c r="K72" s="2">
        <v>450</v>
      </c>
      <c r="L72" s="2">
        <v>50</v>
      </c>
      <c r="M72" s="5">
        <v>0.9</v>
      </c>
      <c r="N72" s="5">
        <v>2.14</v>
      </c>
      <c r="O72" s="5">
        <v>3</v>
      </c>
      <c r="P72" s="2">
        <v>3.9209111526542699</v>
      </c>
      <c r="Q72" s="2">
        <v>4.80475224239136</v>
      </c>
      <c r="R72" s="2">
        <v>4.3378318802524101</v>
      </c>
      <c r="S72" s="2">
        <v>3.8276896025823701</v>
      </c>
    </row>
    <row r="73" spans="2:19" x14ac:dyDescent="0.3">
      <c r="B73" s="2" t="s">
        <v>20</v>
      </c>
      <c r="C73" s="2">
        <v>237</v>
      </c>
      <c r="D73" s="2">
        <v>120.115861189765</v>
      </c>
      <c r="E73" s="2">
        <v>-330.01561633722503</v>
      </c>
      <c r="F73" s="2">
        <f t="shared" si="6"/>
        <v>351.1952834760134</v>
      </c>
      <c r="G73" s="2">
        <v>450</v>
      </c>
      <c r="H73" s="2">
        <f t="shared" si="7"/>
        <v>351.1952834760134</v>
      </c>
      <c r="I73" s="2">
        <v>0</v>
      </c>
      <c r="J73" s="2">
        <v>0</v>
      </c>
      <c r="K73" s="2">
        <v>450</v>
      </c>
      <c r="L73" s="2">
        <v>48</v>
      </c>
      <c r="M73" s="5">
        <v>0.15</v>
      </c>
      <c r="N73" s="5">
        <v>4.5</v>
      </c>
      <c r="O73" s="5">
        <v>2.5</v>
      </c>
      <c r="P73" s="2">
        <v>2.6893943224025301</v>
      </c>
      <c r="Q73" s="2">
        <v>3.11370392308263</v>
      </c>
      <c r="R73" s="2">
        <v>3.0084927883068802</v>
      </c>
      <c r="S73" s="2">
        <v>2.6503177697087601</v>
      </c>
    </row>
    <row r="74" spans="2:19" x14ac:dyDescent="0.3">
      <c r="B74" s="2" t="s">
        <v>31</v>
      </c>
      <c r="C74" s="2">
        <v>266</v>
      </c>
      <c r="D74" s="2">
        <v>66.525707735869801</v>
      </c>
      <c r="E74" s="2">
        <v>-182.77787981754</v>
      </c>
      <c r="F74" s="2">
        <f t="shared" si="6"/>
        <v>194.50815700209967</v>
      </c>
      <c r="G74" s="2">
        <v>450</v>
      </c>
      <c r="H74" s="2">
        <f t="shared" si="7"/>
        <v>194.50815700209967</v>
      </c>
      <c r="I74" s="2">
        <v>0</v>
      </c>
      <c r="J74" s="2">
        <v>0</v>
      </c>
      <c r="K74" s="2">
        <v>450</v>
      </c>
      <c r="L74" s="2">
        <v>41.7</v>
      </c>
      <c r="M74" s="5">
        <v>1</v>
      </c>
      <c r="N74" s="5">
        <v>2.2999999999999998</v>
      </c>
      <c r="O74" s="5">
        <v>1.9</v>
      </c>
      <c r="P74" s="2">
        <v>4.31807264817175</v>
      </c>
      <c r="Q74" s="2">
        <v>5.3753740351016903</v>
      </c>
      <c r="R74" s="2">
        <v>4.6004155453867499</v>
      </c>
      <c r="S74" s="2">
        <v>4.1926459064556001</v>
      </c>
    </row>
    <row r="75" spans="2:19" x14ac:dyDescent="0.3">
      <c r="B75" s="2" t="s">
        <v>20</v>
      </c>
      <c r="C75" s="2">
        <v>286</v>
      </c>
      <c r="D75" s="2">
        <v>29.5669812159421</v>
      </c>
      <c r="E75" s="2">
        <v>-81.234613252239896</v>
      </c>
      <c r="F75" s="2">
        <f t="shared" si="6"/>
        <v>86.44806977871086</v>
      </c>
      <c r="G75" s="2">
        <v>450</v>
      </c>
      <c r="H75" s="2">
        <f t="shared" si="7"/>
        <v>86.44806977871086</v>
      </c>
      <c r="I75" s="2">
        <v>0</v>
      </c>
      <c r="J75" s="2">
        <v>0</v>
      </c>
      <c r="K75" s="2">
        <v>450</v>
      </c>
      <c r="L75" s="2">
        <v>38</v>
      </c>
      <c r="M75" s="5">
        <v>0.15</v>
      </c>
      <c r="N75" s="5">
        <v>5.75</v>
      </c>
      <c r="O75" s="5">
        <v>3.45</v>
      </c>
      <c r="P75" s="2">
        <v>2.7853314793010102</v>
      </c>
      <c r="Q75" s="2">
        <v>3.4585800690148898</v>
      </c>
      <c r="R75" s="2">
        <v>2.6117110198154698</v>
      </c>
      <c r="S75" s="2">
        <v>2.6746284225949601</v>
      </c>
    </row>
    <row r="76" spans="2:19" x14ac:dyDescent="0.3">
      <c r="B76" s="4" t="s">
        <v>32</v>
      </c>
      <c r="C76" s="4">
        <v>292</v>
      </c>
      <c r="D76" s="4">
        <v>18.4793632599639</v>
      </c>
      <c r="E76" s="4">
        <v>-50.7716332826501</v>
      </c>
      <c r="F76" s="4">
        <f t="shared" si="6"/>
        <v>54.030043611694474</v>
      </c>
      <c r="G76" s="4">
        <v>450</v>
      </c>
      <c r="H76" s="4">
        <f t="shared" si="7"/>
        <v>54.030043611694474</v>
      </c>
      <c r="I76" s="4">
        <v>0</v>
      </c>
      <c r="J76" s="4">
        <v>0</v>
      </c>
      <c r="K76" s="4">
        <v>450</v>
      </c>
      <c r="L76" s="4">
        <v>30</v>
      </c>
      <c r="M76" s="6">
        <v>1</v>
      </c>
      <c r="N76" s="6">
        <v>2.2999999999999998</v>
      </c>
      <c r="O76" s="6">
        <v>1.9</v>
      </c>
      <c r="P76" s="4">
        <v>3.09239217250266</v>
      </c>
      <c r="Q76" s="4">
        <v>3.62905169468387</v>
      </c>
      <c r="R76" s="4">
        <v>2.31670653776944</v>
      </c>
      <c r="S76" s="4">
        <v>2.9241442283398298</v>
      </c>
    </row>
    <row r="78" spans="2:19" x14ac:dyDescent="0.3">
      <c r="B78" s="1" t="s">
        <v>37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2:19" ht="43.2" x14ac:dyDescent="0.3">
      <c r="B79" s="2" t="s">
        <v>1</v>
      </c>
      <c r="C79" s="3" t="s">
        <v>2</v>
      </c>
      <c r="D79" s="3" t="s">
        <v>3</v>
      </c>
      <c r="E79" s="3" t="s">
        <v>4</v>
      </c>
      <c r="F79" s="3" t="s">
        <v>5</v>
      </c>
      <c r="G79" s="3" t="s">
        <v>6</v>
      </c>
      <c r="H79" s="3" t="s">
        <v>7</v>
      </c>
      <c r="I79" s="3" t="s">
        <v>8</v>
      </c>
      <c r="J79" s="3" t="s">
        <v>9</v>
      </c>
      <c r="K79" s="3" t="s">
        <v>10</v>
      </c>
      <c r="L79" s="3" t="s">
        <v>11</v>
      </c>
      <c r="M79" s="3" t="s">
        <v>12</v>
      </c>
      <c r="N79" s="2" t="s">
        <v>13</v>
      </c>
      <c r="O79" s="2" t="s">
        <v>14</v>
      </c>
      <c r="P79" s="2" t="s">
        <v>15</v>
      </c>
      <c r="Q79" s="2" t="s">
        <v>16</v>
      </c>
      <c r="R79" s="2" t="s">
        <v>17</v>
      </c>
      <c r="S79" s="2" t="s">
        <v>18</v>
      </c>
    </row>
    <row r="80" spans="2:19" x14ac:dyDescent="0.3">
      <c r="B80" s="2" t="s">
        <v>19</v>
      </c>
      <c r="C80" s="2">
        <v>10</v>
      </c>
      <c r="D80" s="2">
        <v>1.80278221242074</v>
      </c>
      <c r="E80" s="2">
        <v>-4.9531034208204296</v>
      </c>
      <c r="F80" s="2">
        <f>SQRT(D80^2+E80^2)</f>
        <v>5.2709825652115052</v>
      </c>
      <c r="G80" s="2">
        <v>450</v>
      </c>
      <c r="H80" s="2">
        <f>F80</f>
        <v>5.2709825652115052</v>
      </c>
      <c r="I80" s="2">
        <v>0</v>
      </c>
      <c r="J80" s="2">
        <v>0</v>
      </c>
      <c r="K80" s="2">
        <v>450</v>
      </c>
      <c r="L80" s="2">
        <v>30</v>
      </c>
      <c r="M80" s="5">
        <v>1</v>
      </c>
      <c r="N80" s="5">
        <v>2.2999999999999998</v>
      </c>
      <c r="O80" s="5">
        <v>1.9</v>
      </c>
      <c r="P80" s="2">
        <v>4.4514935551567296</v>
      </c>
      <c r="Q80" s="2">
        <v>4.5584310460345501</v>
      </c>
      <c r="R80" s="2">
        <v>2.3941256615932698</v>
      </c>
      <c r="S80" s="2">
        <v>4.1109994634820302</v>
      </c>
    </row>
    <row r="81" spans="2:19" x14ac:dyDescent="0.3">
      <c r="B81" s="2" t="s">
        <v>20</v>
      </c>
      <c r="C81" s="2">
        <v>15</v>
      </c>
      <c r="D81" s="2">
        <v>2.7041733186311099</v>
      </c>
      <c r="E81" s="2">
        <v>-7.4296551312306498</v>
      </c>
      <c r="F81" s="2">
        <f t="shared" ref="F81:F95" si="8">SQRT(D81^2+E81^2)</f>
        <v>7.9064738478172627</v>
      </c>
      <c r="G81" s="2">
        <v>450</v>
      </c>
      <c r="H81" s="2">
        <f t="shared" ref="H81:H95" si="9">F81</f>
        <v>7.9064738478172627</v>
      </c>
      <c r="I81" s="2">
        <v>0</v>
      </c>
      <c r="J81" s="2">
        <v>0</v>
      </c>
      <c r="K81" s="2">
        <v>450</v>
      </c>
      <c r="L81" s="2">
        <v>38</v>
      </c>
      <c r="M81" s="5">
        <v>0.15</v>
      </c>
      <c r="N81" s="5">
        <v>4.5999999999999996</v>
      </c>
      <c r="O81" s="5">
        <v>2.75</v>
      </c>
      <c r="P81" s="2">
        <v>6.5553123168307303</v>
      </c>
      <c r="Q81" s="2">
        <v>6.8610978094600599</v>
      </c>
      <c r="R81" s="2">
        <v>3.6923568958336399</v>
      </c>
      <c r="S81" s="2">
        <v>6.0753271345107898</v>
      </c>
    </row>
    <row r="82" spans="2:19" x14ac:dyDescent="0.3">
      <c r="B82" s="2" t="s">
        <v>21</v>
      </c>
      <c r="C82" s="2">
        <v>36</v>
      </c>
      <c r="D82" s="2">
        <v>6.4900159647146696</v>
      </c>
      <c r="E82" s="2">
        <v>-17.831172314953601</v>
      </c>
      <c r="F82" s="2">
        <f t="shared" si="8"/>
        <v>18.975537234761472</v>
      </c>
      <c r="G82" s="2">
        <v>450</v>
      </c>
      <c r="H82" s="2">
        <f t="shared" si="9"/>
        <v>18.975537234761472</v>
      </c>
      <c r="I82" s="2">
        <v>0</v>
      </c>
      <c r="J82" s="2">
        <v>0</v>
      </c>
      <c r="K82" s="2">
        <v>450</v>
      </c>
      <c r="L82" s="2">
        <v>40</v>
      </c>
      <c r="M82" s="5">
        <v>0.9</v>
      </c>
      <c r="N82" s="5">
        <v>2.14</v>
      </c>
      <c r="O82" s="5">
        <v>3</v>
      </c>
      <c r="P82" s="2">
        <v>6.4482273575260196</v>
      </c>
      <c r="Q82" s="2">
        <v>6.77896884144333</v>
      </c>
      <c r="R82" s="2">
        <v>3.66702456502414</v>
      </c>
      <c r="S82" s="2">
        <v>5.9803924020250401</v>
      </c>
    </row>
    <row r="83" spans="2:19" x14ac:dyDescent="0.3">
      <c r="B83" s="2" t="s">
        <v>22</v>
      </c>
      <c r="C83" s="2">
        <v>56</v>
      </c>
      <c r="D83" s="2">
        <v>10.095580389556201</v>
      </c>
      <c r="E83" s="2">
        <v>-27.7373791565944</v>
      </c>
      <c r="F83" s="2">
        <f t="shared" si="8"/>
        <v>29.517502365184441</v>
      </c>
      <c r="G83" s="2">
        <v>450</v>
      </c>
      <c r="H83" s="2">
        <f t="shared" si="9"/>
        <v>29.517502365184441</v>
      </c>
      <c r="I83" s="2">
        <v>0</v>
      </c>
      <c r="J83" s="2">
        <v>0</v>
      </c>
      <c r="K83" s="2">
        <v>450</v>
      </c>
      <c r="L83" s="2">
        <v>40</v>
      </c>
      <c r="M83" s="5">
        <v>1.5</v>
      </c>
      <c r="N83" s="5">
        <v>1.9</v>
      </c>
      <c r="O83" s="5">
        <v>1.8</v>
      </c>
      <c r="P83" s="2">
        <v>9.2359509230013508</v>
      </c>
      <c r="Q83" s="2">
        <v>10.203313043413299</v>
      </c>
      <c r="R83" s="2">
        <v>5.8843970297106098</v>
      </c>
      <c r="S83" s="2">
        <v>8.6369290872318807</v>
      </c>
    </row>
    <row r="84" spans="2:19" x14ac:dyDescent="0.3">
      <c r="B84" s="2" t="s">
        <v>23</v>
      </c>
      <c r="C84" s="2">
        <v>106</v>
      </c>
      <c r="D84" s="2">
        <v>19.109491451659899</v>
      </c>
      <c r="E84" s="2">
        <v>-52.502896260696602</v>
      </c>
      <c r="F84" s="2">
        <f t="shared" si="8"/>
        <v>55.87241519124202</v>
      </c>
      <c r="G84" s="2">
        <v>450</v>
      </c>
      <c r="H84" s="2">
        <f t="shared" si="9"/>
        <v>55.87241519124202</v>
      </c>
      <c r="I84" s="2">
        <v>0</v>
      </c>
      <c r="J84" s="2">
        <v>0</v>
      </c>
      <c r="K84" s="2">
        <v>450</v>
      </c>
      <c r="L84" s="2">
        <v>50</v>
      </c>
      <c r="M84" s="5">
        <v>0.9</v>
      </c>
      <c r="N84" s="5">
        <v>2.14</v>
      </c>
      <c r="O84" s="5">
        <v>3</v>
      </c>
      <c r="P84" s="2">
        <v>10.474927405811099</v>
      </c>
      <c r="Q84" s="2">
        <v>11.8409570897142</v>
      </c>
      <c r="R84" s="2">
        <v>7.0695407936880104</v>
      </c>
      <c r="S84" s="2">
        <v>9.8350175940617106</v>
      </c>
    </row>
    <row r="85" spans="2:19" x14ac:dyDescent="0.3">
      <c r="B85" s="2" t="s">
        <v>24</v>
      </c>
      <c r="C85" s="2">
        <v>126</v>
      </c>
      <c r="D85" s="2">
        <v>22.7150558765013</v>
      </c>
      <c r="E85" s="2">
        <v>-62.409103102337497</v>
      </c>
      <c r="F85" s="2">
        <f t="shared" si="8"/>
        <v>66.414380321665035</v>
      </c>
      <c r="G85" s="2">
        <v>450</v>
      </c>
      <c r="H85" s="2">
        <f t="shared" si="9"/>
        <v>66.414380321665035</v>
      </c>
      <c r="I85" s="2">
        <v>0</v>
      </c>
      <c r="J85" s="2">
        <v>0</v>
      </c>
      <c r="K85" s="2">
        <v>450</v>
      </c>
      <c r="L85" s="2">
        <v>50</v>
      </c>
      <c r="M85" s="5">
        <v>1.5</v>
      </c>
      <c r="N85" s="5">
        <v>2.1</v>
      </c>
      <c r="O85" s="5">
        <v>1.9</v>
      </c>
      <c r="P85" s="2">
        <v>13.3323722192857</v>
      </c>
      <c r="Q85" s="2">
        <v>15.8961042050727</v>
      </c>
      <c r="R85" s="2">
        <v>10.502242215874301</v>
      </c>
      <c r="S85" s="2">
        <v>12.6494786063269</v>
      </c>
    </row>
    <row r="86" spans="2:19" x14ac:dyDescent="0.3">
      <c r="B86" s="2" t="s">
        <v>25</v>
      </c>
      <c r="C86" s="2">
        <v>141</v>
      </c>
      <c r="D86" s="2">
        <v>25.419229195132498</v>
      </c>
      <c r="E86" s="2">
        <v>-69.8387582335681</v>
      </c>
      <c r="F86" s="2">
        <f t="shared" si="8"/>
        <v>74.320854169482288</v>
      </c>
      <c r="G86" s="2">
        <v>450</v>
      </c>
      <c r="H86" s="2">
        <f t="shared" si="9"/>
        <v>74.320854169482288</v>
      </c>
      <c r="I86" s="2">
        <v>0</v>
      </c>
      <c r="J86" s="2">
        <v>0</v>
      </c>
      <c r="K86" s="2">
        <v>450</v>
      </c>
      <c r="L86" s="2">
        <v>55</v>
      </c>
      <c r="M86" s="5">
        <v>0.9</v>
      </c>
      <c r="N86" s="5">
        <v>2.14</v>
      </c>
      <c r="O86" s="5">
        <v>3</v>
      </c>
      <c r="P86" s="7">
        <v>12.817964441887399</v>
      </c>
      <c r="Q86" s="7">
        <v>14.879842315654701</v>
      </c>
      <c r="R86" s="7">
        <v>9.3003723335488804</v>
      </c>
      <c r="S86" s="7">
        <v>12.094493175802199</v>
      </c>
    </row>
    <row r="87" spans="2:19" x14ac:dyDescent="0.3">
      <c r="B87" s="2" t="s">
        <v>26</v>
      </c>
      <c r="C87" s="2">
        <v>156</v>
      </c>
      <c r="D87" s="2">
        <v>28.123402513763601</v>
      </c>
      <c r="E87" s="2">
        <v>-77.268413364798803</v>
      </c>
      <c r="F87" s="2">
        <f t="shared" si="8"/>
        <v>82.227328017299598</v>
      </c>
      <c r="G87" s="2">
        <v>450</v>
      </c>
      <c r="H87" s="2">
        <f t="shared" si="9"/>
        <v>82.227328017299598</v>
      </c>
      <c r="I87" s="2">
        <v>0</v>
      </c>
      <c r="J87" s="2">
        <v>0</v>
      </c>
      <c r="K87" s="2">
        <v>450</v>
      </c>
      <c r="L87" s="2">
        <v>55</v>
      </c>
      <c r="M87" s="5">
        <v>1.5</v>
      </c>
      <c r="N87" s="5">
        <v>2.1800000000000002</v>
      </c>
      <c r="O87" s="5">
        <v>1.45</v>
      </c>
      <c r="P87" s="2">
        <v>18.239442743254301</v>
      </c>
      <c r="Q87" s="2">
        <v>22.576978728939402</v>
      </c>
      <c r="R87" s="2">
        <v>16.769610876495001</v>
      </c>
      <c r="S87" s="2">
        <v>17.489474914513199</v>
      </c>
    </row>
    <row r="88" spans="2:19" x14ac:dyDescent="0.3">
      <c r="B88" s="2" t="s">
        <v>27</v>
      </c>
      <c r="C88" s="2">
        <v>186</v>
      </c>
      <c r="D88" s="2">
        <v>33.531749151025799</v>
      </c>
      <c r="E88" s="2">
        <v>-92.127723627260096</v>
      </c>
      <c r="F88" s="2">
        <f t="shared" si="8"/>
        <v>98.040275712934118</v>
      </c>
      <c r="G88" s="2">
        <v>450</v>
      </c>
      <c r="H88" s="2">
        <f t="shared" si="9"/>
        <v>98.040275712934118</v>
      </c>
      <c r="I88" s="2">
        <v>0</v>
      </c>
      <c r="J88" s="2">
        <v>0</v>
      </c>
      <c r="K88" s="2">
        <v>450</v>
      </c>
      <c r="L88" s="2">
        <v>55</v>
      </c>
      <c r="M88" s="5">
        <v>1.5</v>
      </c>
      <c r="N88" s="5">
        <v>2.1800000000000002</v>
      </c>
      <c r="O88" s="5">
        <v>1.45</v>
      </c>
      <c r="P88" s="2">
        <v>16.6194683388822</v>
      </c>
      <c r="Q88" s="2">
        <v>20.714410923488899</v>
      </c>
      <c r="R88" s="2">
        <v>16.050886100200099</v>
      </c>
      <c r="S88" s="2">
        <v>15.994522053366801</v>
      </c>
    </row>
    <row r="89" spans="2:19" x14ac:dyDescent="0.3">
      <c r="B89" s="2" t="s">
        <v>28</v>
      </c>
      <c r="C89" s="2">
        <v>198</v>
      </c>
      <c r="D89" s="2">
        <v>35.695087805930697</v>
      </c>
      <c r="E89" s="2">
        <v>-98.071447732244593</v>
      </c>
      <c r="F89" s="2">
        <f t="shared" si="8"/>
        <v>104.3654547911879</v>
      </c>
      <c r="G89" s="2">
        <v>450</v>
      </c>
      <c r="H89" s="2">
        <f t="shared" si="9"/>
        <v>104.3654547911879</v>
      </c>
      <c r="I89" s="2">
        <v>0</v>
      </c>
      <c r="J89" s="2">
        <v>0</v>
      </c>
      <c r="K89" s="2">
        <v>450</v>
      </c>
      <c r="L89" s="2">
        <v>55</v>
      </c>
      <c r="M89" s="5">
        <v>0.9</v>
      </c>
      <c r="N89" s="5">
        <v>2.14</v>
      </c>
      <c r="O89" s="5">
        <v>3</v>
      </c>
      <c r="P89" s="2">
        <v>11.3819681011841</v>
      </c>
      <c r="Q89" s="2">
        <v>13.6202758189016</v>
      </c>
      <c r="R89" s="2">
        <v>9.0769349208679202</v>
      </c>
      <c r="S89" s="2">
        <v>10.8078876776184</v>
      </c>
    </row>
    <row r="90" spans="2:19" x14ac:dyDescent="0.3">
      <c r="B90" s="2" t="s">
        <v>29</v>
      </c>
      <c r="C90" s="2">
        <v>211</v>
      </c>
      <c r="D90" s="2">
        <v>38.0387046820777</v>
      </c>
      <c r="E90" s="2">
        <v>-104.510482179311</v>
      </c>
      <c r="F90" s="2">
        <f t="shared" si="8"/>
        <v>111.21773212596273</v>
      </c>
      <c r="G90" s="2">
        <v>450</v>
      </c>
      <c r="H90" s="2">
        <f t="shared" si="9"/>
        <v>111.21773212596273</v>
      </c>
      <c r="I90" s="2">
        <v>0</v>
      </c>
      <c r="J90" s="2">
        <v>0</v>
      </c>
      <c r="K90" s="2">
        <v>450</v>
      </c>
      <c r="L90" s="2">
        <v>50</v>
      </c>
      <c r="M90" s="5">
        <v>1.5</v>
      </c>
      <c r="N90" s="5">
        <v>2.1</v>
      </c>
      <c r="O90" s="5">
        <v>1.9</v>
      </c>
      <c r="P90" s="2">
        <v>10.6167725852183</v>
      </c>
      <c r="Q90" s="2">
        <v>13.1382660921295</v>
      </c>
      <c r="R90" s="2">
        <v>9.7470723031998894</v>
      </c>
      <c r="S90" s="2">
        <v>10.179171932985501</v>
      </c>
    </row>
    <row r="91" spans="2:19" x14ac:dyDescent="0.3">
      <c r="B91" s="2" t="s">
        <v>30</v>
      </c>
      <c r="C91" s="2">
        <v>223</v>
      </c>
      <c r="D91" s="2">
        <v>40.202043336982499</v>
      </c>
      <c r="E91" s="2">
        <v>-110.45420628429601</v>
      </c>
      <c r="F91" s="2">
        <f t="shared" si="8"/>
        <v>117.54291120421696</v>
      </c>
      <c r="G91" s="2">
        <v>450</v>
      </c>
      <c r="H91" s="2">
        <f t="shared" si="9"/>
        <v>117.54291120421696</v>
      </c>
      <c r="I91" s="2">
        <v>0</v>
      </c>
      <c r="J91" s="2">
        <v>0</v>
      </c>
      <c r="K91" s="2">
        <v>450</v>
      </c>
      <c r="L91" s="2">
        <v>50</v>
      </c>
      <c r="M91" s="5">
        <v>0.9</v>
      </c>
      <c r="N91" s="5">
        <v>2.14</v>
      </c>
      <c r="O91" s="5">
        <v>3</v>
      </c>
      <c r="P91" s="2">
        <v>8.1970814492960091</v>
      </c>
      <c r="Q91" s="2">
        <v>9.8955956372187703</v>
      </c>
      <c r="R91" s="2">
        <v>6.7438984825941297</v>
      </c>
      <c r="S91" s="2">
        <v>7.7999418253530903</v>
      </c>
    </row>
    <row r="92" spans="2:19" x14ac:dyDescent="0.3">
      <c r="B92" s="2" t="s">
        <v>20</v>
      </c>
      <c r="C92" s="2">
        <v>237</v>
      </c>
      <c r="D92" s="2">
        <v>42.725938434371599</v>
      </c>
      <c r="E92" s="2">
        <v>-117.38855107344401</v>
      </c>
      <c r="F92" s="2">
        <f t="shared" si="8"/>
        <v>124.92228679551253</v>
      </c>
      <c r="G92" s="2">
        <v>450</v>
      </c>
      <c r="H92" s="2">
        <f t="shared" si="9"/>
        <v>124.92228679551253</v>
      </c>
      <c r="I92" s="2">
        <v>0</v>
      </c>
      <c r="J92" s="2">
        <v>0</v>
      </c>
      <c r="K92" s="2">
        <v>450</v>
      </c>
      <c r="L92" s="2">
        <v>48</v>
      </c>
      <c r="M92" s="5">
        <v>0.15</v>
      </c>
      <c r="N92" s="5">
        <v>4.5</v>
      </c>
      <c r="O92" s="5">
        <v>2.5</v>
      </c>
      <c r="P92" s="2">
        <v>5.7842569325755404</v>
      </c>
      <c r="Q92" s="2">
        <v>7.2186664636907301</v>
      </c>
      <c r="R92" s="2">
        <v>6.0632838356616698</v>
      </c>
      <c r="S92" s="2">
        <v>5.6064695822291402</v>
      </c>
    </row>
    <row r="93" spans="2:19" x14ac:dyDescent="0.3">
      <c r="B93" s="2" t="s">
        <v>31</v>
      </c>
      <c r="C93" s="2">
        <v>266</v>
      </c>
      <c r="D93" s="2">
        <v>47.9540068503917</v>
      </c>
      <c r="E93" s="2">
        <v>-131.752550993824</v>
      </c>
      <c r="F93" s="2">
        <f t="shared" si="8"/>
        <v>140.20813623462658</v>
      </c>
      <c r="G93" s="2">
        <v>450</v>
      </c>
      <c r="H93" s="2">
        <f t="shared" si="9"/>
        <v>140.20813623462658</v>
      </c>
      <c r="I93" s="2">
        <v>0</v>
      </c>
      <c r="J93" s="2">
        <v>0</v>
      </c>
      <c r="K93" s="2">
        <v>450</v>
      </c>
      <c r="L93" s="2">
        <v>41.7</v>
      </c>
      <c r="M93" s="5">
        <v>1</v>
      </c>
      <c r="N93" s="5">
        <v>2.2999999999999998</v>
      </c>
      <c r="O93" s="5">
        <v>1.9</v>
      </c>
      <c r="P93" s="2">
        <v>5.2860783772913598</v>
      </c>
      <c r="Q93" s="2">
        <v>6.6039811876694801</v>
      </c>
      <c r="R93" s="2">
        <v>5.2584865076492404</v>
      </c>
      <c r="S93" s="2">
        <v>5.0993292160466801</v>
      </c>
    </row>
    <row r="94" spans="2:19" x14ac:dyDescent="0.3">
      <c r="B94" s="2" t="s">
        <v>20</v>
      </c>
      <c r="C94" s="2">
        <v>286</v>
      </c>
      <c r="D94" s="2">
        <v>30.619562500192199</v>
      </c>
      <c r="E94" s="2">
        <v>-84.126556562857701</v>
      </c>
      <c r="F94" s="2">
        <f t="shared" si="8"/>
        <v>89.525611569130717</v>
      </c>
      <c r="G94" s="2">
        <v>450</v>
      </c>
      <c r="H94" s="2">
        <f t="shared" si="9"/>
        <v>89.525611569130717</v>
      </c>
      <c r="I94" s="2">
        <v>0</v>
      </c>
      <c r="J94" s="2">
        <v>0</v>
      </c>
      <c r="K94" s="2">
        <v>450</v>
      </c>
      <c r="L94" s="2">
        <v>38</v>
      </c>
      <c r="M94" s="5">
        <v>0.15</v>
      </c>
      <c r="N94" s="5">
        <v>5.75</v>
      </c>
      <c r="O94" s="5">
        <v>3.45</v>
      </c>
      <c r="P94" s="2">
        <v>2.7343230977023798</v>
      </c>
      <c r="Q94" s="2">
        <v>3.3999555521282399</v>
      </c>
      <c r="R94" s="2">
        <v>2.58916004290238</v>
      </c>
      <c r="S94" s="2">
        <v>2.6275598638160602</v>
      </c>
    </row>
    <row r="95" spans="2:19" x14ac:dyDescent="0.3">
      <c r="B95" s="4" t="s">
        <v>32</v>
      </c>
      <c r="C95" s="4">
        <v>292</v>
      </c>
      <c r="D95" s="4">
        <v>19.137226562620199</v>
      </c>
      <c r="E95" s="4">
        <v>-52.579097851786301</v>
      </c>
      <c r="F95" s="4">
        <f t="shared" si="8"/>
        <v>55.953507230706947</v>
      </c>
      <c r="G95" s="4">
        <v>450</v>
      </c>
      <c r="H95" s="4">
        <f t="shared" si="9"/>
        <v>55.953507230706947</v>
      </c>
      <c r="I95" s="4">
        <v>0</v>
      </c>
      <c r="J95" s="4">
        <v>0</v>
      </c>
      <c r="K95" s="4">
        <v>450</v>
      </c>
      <c r="L95" s="4">
        <v>30</v>
      </c>
      <c r="M95" s="6">
        <v>1</v>
      </c>
      <c r="N95" s="6">
        <v>2.2999999999999998</v>
      </c>
      <c r="O95" s="6">
        <v>1.9</v>
      </c>
      <c r="P95" s="4">
        <v>3.05559030383951</v>
      </c>
      <c r="Q95" s="4">
        <v>3.5972279586104801</v>
      </c>
      <c r="R95" s="4">
        <v>2.3113328292538302</v>
      </c>
      <c r="S95" s="4">
        <v>2.8912166637358698</v>
      </c>
    </row>
    <row r="97" spans="2:19" x14ac:dyDescent="0.3">
      <c r="B97" s="1" t="s">
        <v>0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2:19" ht="43.2" x14ac:dyDescent="0.3">
      <c r="B98" s="2" t="s">
        <v>1</v>
      </c>
      <c r="C98" s="3" t="s">
        <v>2</v>
      </c>
      <c r="D98" s="3" t="s">
        <v>3</v>
      </c>
      <c r="E98" s="3" t="s">
        <v>4</v>
      </c>
      <c r="F98" s="3" t="s">
        <v>5</v>
      </c>
      <c r="G98" s="3" t="s">
        <v>6</v>
      </c>
      <c r="H98" s="3" t="s">
        <v>7</v>
      </c>
      <c r="I98" s="3" t="s">
        <v>8</v>
      </c>
      <c r="J98" s="3" t="s">
        <v>9</v>
      </c>
      <c r="K98" s="3" t="s">
        <v>10</v>
      </c>
      <c r="L98" s="3" t="s">
        <v>11</v>
      </c>
      <c r="M98" s="3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</row>
    <row r="99" spans="2:19" x14ac:dyDescent="0.3">
      <c r="B99" s="2" t="s">
        <v>19</v>
      </c>
      <c r="C99" s="2">
        <v>10</v>
      </c>
      <c r="D99" s="2">
        <v>34.983816411948297</v>
      </c>
      <c r="E99" s="2">
        <v>-96.117245638174097</v>
      </c>
      <c r="F99" s="2">
        <f>SQRT(D99^2+E99^2)</f>
        <v>102.28583635975218</v>
      </c>
      <c r="G99" s="2">
        <v>450</v>
      </c>
      <c r="H99" s="2">
        <f>F99</f>
        <v>102.28583635975218</v>
      </c>
      <c r="I99" s="2">
        <v>0</v>
      </c>
      <c r="J99" s="2">
        <v>0</v>
      </c>
      <c r="K99" s="2">
        <v>450</v>
      </c>
      <c r="L99" s="2">
        <v>30</v>
      </c>
      <c r="M99" s="5">
        <v>1</v>
      </c>
      <c r="N99" s="5">
        <v>2.2999999999999998</v>
      </c>
      <c r="O99" s="5">
        <v>1.9</v>
      </c>
      <c r="P99" s="2">
        <v>2.3748132298833999</v>
      </c>
      <c r="Q99" s="2">
        <v>2.9302240281015801</v>
      </c>
      <c r="R99" s="2">
        <v>2.1454739661517102</v>
      </c>
      <c r="S99" s="2">
        <v>2.2743198589142799</v>
      </c>
    </row>
    <row r="100" spans="2:19" x14ac:dyDescent="0.3">
      <c r="B100" s="2" t="s">
        <v>20</v>
      </c>
      <c r="C100" s="2">
        <v>15</v>
      </c>
      <c r="D100" s="2">
        <v>52.475724617922502</v>
      </c>
      <c r="E100" s="2">
        <v>-144.175868457261</v>
      </c>
      <c r="F100" s="2">
        <f t="shared" ref="F100:F114" si="10">SQRT(D100^2+E100^2)</f>
        <v>153.42875453962816</v>
      </c>
      <c r="G100" s="2">
        <v>450</v>
      </c>
      <c r="H100" s="2">
        <f t="shared" ref="H100:H114" si="11">F100</f>
        <v>153.42875453962816</v>
      </c>
      <c r="I100" s="2">
        <v>0</v>
      </c>
      <c r="J100" s="2">
        <v>0</v>
      </c>
      <c r="K100" s="2">
        <v>450</v>
      </c>
      <c r="L100" s="2">
        <v>38</v>
      </c>
      <c r="M100" s="5">
        <v>0.15</v>
      </c>
      <c r="N100" s="5">
        <v>4.5999999999999996</v>
      </c>
      <c r="O100" s="5">
        <v>2.75</v>
      </c>
      <c r="P100" s="2">
        <v>2.4433652441120799</v>
      </c>
      <c r="Q100" s="2">
        <v>3.0390385310477401</v>
      </c>
      <c r="R100" s="2">
        <v>2.6133865043776998</v>
      </c>
      <c r="S100" s="2">
        <v>2.3734716747734099</v>
      </c>
    </row>
    <row r="101" spans="2:19" x14ac:dyDescent="0.3">
      <c r="B101" s="2" t="s">
        <v>21</v>
      </c>
      <c r="C101" s="2">
        <v>36</v>
      </c>
      <c r="D101" s="2">
        <v>125.941739083014</v>
      </c>
      <c r="E101" s="2">
        <v>-346.022084297427</v>
      </c>
      <c r="F101" s="2">
        <f t="shared" si="10"/>
        <v>368.2290108951081</v>
      </c>
      <c r="G101" s="2">
        <v>450</v>
      </c>
      <c r="H101" s="2">
        <f t="shared" si="11"/>
        <v>368.2290108951081</v>
      </c>
      <c r="I101" s="2">
        <v>0</v>
      </c>
      <c r="J101" s="2">
        <v>0</v>
      </c>
      <c r="K101" s="2">
        <v>450</v>
      </c>
      <c r="L101" s="2">
        <v>40</v>
      </c>
      <c r="M101" s="5">
        <v>0.9</v>
      </c>
      <c r="N101" s="5">
        <v>2.14</v>
      </c>
      <c r="O101" s="5">
        <v>3</v>
      </c>
      <c r="P101" s="2">
        <v>2.2645428608475702</v>
      </c>
      <c r="Q101" s="2">
        <v>2.8038625818420901</v>
      </c>
      <c r="R101" s="2">
        <v>2.4590529878392302</v>
      </c>
      <c r="S101" s="2">
        <v>2.2039929658541699</v>
      </c>
    </row>
    <row r="102" spans="2:19" x14ac:dyDescent="0.3">
      <c r="B102" s="2" t="s">
        <v>22</v>
      </c>
      <c r="C102" s="2">
        <v>56</v>
      </c>
      <c r="D102" s="2">
        <v>116.47243539256201</v>
      </c>
      <c r="E102" s="2">
        <v>-320.005386229951</v>
      </c>
      <c r="F102" s="2">
        <f t="shared" si="10"/>
        <v>340.54261909848321</v>
      </c>
      <c r="G102" s="2">
        <v>450</v>
      </c>
      <c r="H102" s="2">
        <f t="shared" si="11"/>
        <v>340.54261909848321</v>
      </c>
      <c r="I102" s="2">
        <v>0</v>
      </c>
      <c r="J102" s="2">
        <v>0</v>
      </c>
      <c r="K102" s="2">
        <v>450</v>
      </c>
      <c r="L102" s="2">
        <v>40</v>
      </c>
      <c r="M102" s="5">
        <v>1.5</v>
      </c>
      <c r="N102" s="5">
        <v>1.9</v>
      </c>
      <c r="O102" s="5">
        <v>1.8</v>
      </c>
      <c r="P102" s="2">
        <v>2.94818263260222</v>
      </c>
      <c r="Q102" s="2">
        <v>3.5776241620160998</v>
      </c>
      <c r="R102" s="2">
        <v>3.2910944948751002</v>
      </c>
      <c r="S102" s="2">
        <v>2.8843268057337599</v>
      </c>
    </row>
    <row r="103" spans="2:19" x14ac:dyDescent="0.3">
      <c r="B103" s="2" t="s">
        <v>23</v>
      </c>
      <c r="C103" s="2">
        <v>106</v>
      </c>
      <c r="D103" s="2">
        <v>92.799176166431394</v>
      </c>
      <c r="E103" s="2">
        <v>-254.963641061262</v>
      </c>
      <c r="F103" s="2">
        <f t="shared" si="10"/>
        <v>271.32663960692179</v>
      </c>
      <c r="G103" s="2">
        <v>450</v>
      </c>
      <c r="H103" s="2">
        <f t="shared" si="11"/>
        <v>271.32663960692179</v>
      </c>
      <c r="I103" s="2">
        <v>0</v>
      </c>
      <c r="J103" s="2">
        <v>0</v>
      </c>
      <c r="K103" s="2">
        <v>450</v>
      </c>
      <c r="L103" s="2">
        <v>50</v>
      </c>
      <c r="M103" s="5">
        <v>0.9</v>
      </c>
      <c r="N103" s="5">
        <v>2.14</v>
      </c>
      <c r="O103" s="5">
        <v>3</v>
      </c>
      <c r="P103" s="2">
        <v>5.3149858338864098</v>
      </c>
      <c r="Q103" s="2">
        <v>6.6402278526804501</v>
      </c>
      <c r="R103" s="2">
        <v>5.5003596645488004</v>
      </c>
      <c r="S103" s="2">
        <v>5.1451259858877298</v>
      </c>
    </row>
    <row r="104" spans="2:19" x14ac:dyDescent="0.3">
      <c r="B104" s="2" t="s">
        <v>24</v>
      </c>
      <c r="C104" s="2">
        <v>126</v>
      </c>
      <c r="D104" s="2">
        <v>83.3298724759793</v>
      </c>
      <c r="E104" s="2">
        <v>-228.946942993786</v>
      </c>
      <c r="F104" s="2">
        <f t="shared" si="10"/>
        <v>243.64024781029687</v>
      </c>
      <c r="G104" s="2">
        <v>450</v>
      </c>
      <c r="H104" s="2">
        <f t="shared" si="11"/>
        <v>243.64024781029687</v>
      </c>
      <c r="I104" s="2">
        <v>0</v>
      </c>
      <c r="J104" s="2">
        <v>0</v>
      </c>
      <c r="K104" s="2">
        <v>450</v>
      </c>
      <c r="L104" s="2">
        <v>50</v>
      </c>
      <c r="M104" s="5">
        <v>1.5</v>
      </c>
      <c r="N104" s="5">
        <v>2.1</v>
      </c>
      <c r="O104" s="5">
        <v>1.9</v>
      </c>
      <c r="P104" s="2">
        <v>6.62712346725408</v>
      </c>
      <c r="Q104" s="2">
        <v>8.1907031247111597</v>
      </c>
      <c r="R104" s="2">
        <v>7.2277775505117399</v>
      </c>
      <c r="S104" s="2">
        <v>6.4539335722769202</v>
      </c>
    </row>
    <row r="105" spans="2:19" x14ac:dyDescent="0.3">
      <c r="B105" s="2" t="s">
        <v>25</v>
      </c>
      <c r="C105" s="2">
        <v>141</v>
      </c>
      <c r="D105" s="2">
        <v>76.227894708140198</v>
      </c>
      <c r="E105" s="2">
        <v>-209.43441944317999</v>
      </c>
      <c r="F105" s="2">
        <f t="shared" si="10"/>
        <v>222.87545396282911</v>
      </c>
      <c r="G105" s="2">
        <v>450</v>
      </c>
      <c r="H105" s="2">
        <f t="shared" si="11"/>
        <v>222.87545396282911</v>
      </c>
      <c r="I105" s="2">
        <v>0</v>
      </c>
      <c r="J105" s="2">
        <v>0</v>
      </c>
      <c r="K105" s="2">
        <v>450</v>
      </c>
      <c r="L105" s="2">
        <v>55</v>
      </c>
      <c r="M105" s="5">
        <v>0.9</v>
      </c>
      <c r="N105" s="5">
        <v>2.14</v>
      </c>
      <c r="O105" s="5">
        <v>3</v>
      </c>
      <c r="P105" s="7">
        <v>7.8937357012181701</v>
      </c>
      <c r="Q105" s="7">
        <v>9.8604452436316397</v>
      </c>
      <c r="R105" s="7">
        <v>7.8327268516752504</v>
      </c>
      <c r="S105" s="7">
        <v>7.6132770966561898</v>
      </c>
    </row>
    <row r="106" spans="2:19" x14ac:dyDescent="0.3">
      <c r="B106" s="2" t="s">
        <v>26</v>
      </c>
      <c r="C106" s="2">
        <v>156</v>
      </c>
      <c r="D106" s="2">
        <v>69.125916940300996</v>
      </c>
      <c r="E106" s="2">
        <v>-189.92189589257299</v>
      </c>
      <c r="F106" s="2">
        <f t="shared" si="10"/>
        <v>202.11066011536039</v>
      </c>
      <c r="G106" s="2">
        <v>450</v>
      </c>
      <c r="H106" s="2">
        <f t="shared" si="11"/>
        <v>202.11066011536039</v>
      </c>
      <c r="I106" s="2">
        <v>0</v>
      </c>
      <c r="J106" s="2">
        <v>0</v>
      </c>
      <c r="K106" s="2">
        <v>450</v>
      </c>
      <c r="L106" s="2">
        <v>55</v>
      </c>
      <c r="M106" s="5">
        <v>1.5</v>
      </c>
      <c r="N106" s="5">
        <v>2.1800000000000002</v>
      </c>
      <c r="O106" s="5">
        <v>1.45</v>
      </c>
      <c r="P106" s="2">
        <v>10.488542580121999</v>
      </c>
      <c r="Q106" s="2">
        <v>12.868059506744199</v>
      </c>
      <c r="R106" s="2">
        <v>11.5862191713559</v>
      </c>
      <c r="S106" s="2">
        <v>10.236133267201099</v>
      </c>
    </row>
    <row r="107" spans="2:19" x14ac:dyDescent="0.3">
      <c r="B107" s="2" t="s">
        <v>27</v>
      </c>
      <c r="C107" s="2">
        <v>186</v>
      </c>
      <c r="D107" s="2">
        <v>54.921961404622799</v>
      </c>
      <c r="E107" s="2">
        <v>-150.89684879135899</v>
      </c>
      <c r="F107" s="2">
        <f t="shared" si="10"/>
        <v>160.581072420423</v>
      </c>
      <c r="G107" s="2">
        <v>450</v>
      </c>
      <c r="H107" s="2">
        <f t="shared" si="11"/>
        <v>160.581072420423</v>
      </c>
      <c r="I107" s="2">
        <v>0</v>
      </c>
      <c r="J107" s="2">
        <v>0</v>
      </c>
      <c r="K107" s="2">
        <v>450</v>
      </c>
      <c r="L107" s="2">
        <v>55</v>
      </c>
      <c r="M107" s="5">
        <v>1.5</v>
      </c>
      <c r="N107" s="5">
        <v>2.1800000000000002</v>
      </c>
      <c r="O107" s="5">
        <v>1.45</v>
      </c>
      <c r="P107" s="2">
        <v>12.299102060611601</v>
      </c>
      <c r="Q107" s="2">
        <v>15.2811046345491</v>
      </c>
      <c r="R107" s="2">
        <v>13.2118476349153</v>
      </c>
      <c r="S107" s="2">
        <v>11.9534640609214</v>
      </c>
    </row>
    <row r="108" spans="2:19" x14ac:dyDescent="0.3">
      <c r="B108" s="2" t="s">
        <v>28</v>
      </c>
      <c r="C108" s="2">
        <v>198</v>
      </c>
      <c r="D108" s="2">
        <v>49.240379190351497</v>
      </c>
      <c r="E108" s="2">
        <v>-135.28682995087399</v>
      </c>
      <c r="F108" s="2">
        <f t="shared" si="10"/>
        <v>143.96923734244859</v>
      </c>
      <c r="G108" s="2">
        <v>450</v>
      </c>
      <c r="H108" s="2">
        <f t="shared" si="11"/>
        <v>143.96923734244859</v>
      </c>
      <c r="I108" s="2">
        <v>0</v>
      </c>
      <c r="J108" s="2">
        <v>0</v>
      </c>
      <c r="K108" s="2">
        <v>450</v>
      </c>
      <c r="L108" s="2">
        <v>55</v>
      </c>
      <c r="M108" s="5">
        <v>0.9</v>
      </c>
      <c r="N108" s="5">
        <v>2.14</v>
      </c>
      <c r="O108" s="5">
        <v>3</v>
      </c>
      <c r="P108" s="2">
        <v>9.9174212680563603</v>
      </c>
      <c r="Q108" s="2">
        <v>12.165020713765299</v>
      </c>
      <c r="R108" s="2">
        <v>8.7062489969544892</v>
      </c>
      <c r="S108" s="2">
        <v>9.4787256798875408</v>
      </c>
    </row>
    <row r="109" spans="2:19" x14ac:dyDescent="0.3">
      <c r="B109" s="2" t="s">
        <v>29</v>
      </c>
      <c r="C109" s="2">
        <v>211</v>
      </c>
      <c r="D109" s="2">
        <v>43.0853317915575</v>
      </c>
      <c r="E109" s="2">
        <v>-118.375976207015</v>
      </c>
      <c r="F109" s="2">
        <f t="shared" si="10"/>
        <v>125.97308267464274</v>
      </c>
      <c r="G109" s="2">
        <v>450</v>
      </c>
      <c r="H109" s="2">
        <f t="shared" si="11"/>
        <v>125.97308267464274</v>
      </c>
      <c r="I109" s="2">
        <v>0</v>
      </c>
      <c r="J109" s="2">
        <v>0</v>
      </c>
      <c r="K109" s="2">
        <v>450</v>
      </c>
      <c r="L109" s="2">
        <v>50</v>
      </c>
      <c r="M109" s="5">
        <v>1.5</v>
      </c>
      <c r="N109" s="5">
        <v>2.1</v>
      </c>
      <c r="O109" s="5">
        <v>1.9</v>
      </c>
      <c r="P109" s="2">
        <v>9.9493627488505396</v>
      </c>
      <c r="Q109" s="2">
        <v>12.378592794294301</v>
      </c>
      <c r="R109" s="2">
        <v>9.4628709699602993</v>
      </c>
      <c r="S109" s="2">
        <v>9.5640527970041997</v>
      </c>
    </row>
    <row r="110" spans="2:19" x14ac:dyDescent="0.3">
      <c r="B110" s="2" t="s">
        <v>30</v>
      </c>
      <c r="C110" s="2">
        <v>223</v>
      </c>
      <c r="D110" s="2">
        <v>37.403749577286298</v>
      </c>
      <c r="E110" s="2">
        <v>-102.76595736652899</v>
      </c>
      <c r="F110" s="2">
        <f t="shared" si="10"/>
        <v>109.36124759666744</v>
      </c>
      <c r="G110" s="2">
        <v>450</v>
      </c>
      <c r="H110" s="2">
        <f t="shared" si="11"/>
        <v>109.36124759666744</v>
      </c>
      <c r="I110" s="2">
        <v>0</v>
      </c>
      <c r="J110" s="2">
        <v>0</v>
      </c>
      <c r="K110" s="2">
        <v>450</v>
      </c>
      <c r="L110" s="2">
        <v>50</v>
      </c>
      <c r="M110" s="5">
        <v>0.9</v>
      </c>
      <c r="N110" s="5">
        <v>2.14</v>
      </c>
      <c r="O110" s="5">
        <v>3</v>
      </c>
      <c r="P110" s="2">
        <v>8.44058774596615</v>
      </c>
      <c r="Q110" s="2">
        <v>10.1289938198016</v>
      </c>
      <c r="R110" s="2">
        <v>6.7972057162303603</v>
      </c>
      <c r="S110" s="2">
        <v>8.0201076037763208</v>
      </c>
    </row>
    <row r="111" spans="2:19" x14ac:dyDescent="0.3">
      <c r="B111" s="2" t="s">
        <v>20</v>
      </c>
      <c r="C111" s="2">
        <v>237</v>
      </c>
      <c r="D111" s="2">
        <v>30.775236993969699</v>
      </c>
      <c r="E111" s="2">
        <v>-84.554268719296303</v>
      </c>
      <c r="F111" s="2">
        <f t="shared" si="10"/>
        <v>89.980773339030435</v>
      </c>
      <c r="G111" s="2">
        <v>450</v>
      </c>
      <c r="H111" s="2">
        <f t="shared" si="11"/>
        <v>89.980773339030435</v>
      </c>
      <c r="I111" s="2">
        <v>0</v>
      </c>
      <c r="J111" s="2">
        <v>0</v>
      </c>
      <c r="K111" s="2">
        <v>450</v>
      </c>
      <c r="L111" s="2">
        <v>48</v>
      </c>
      <c r="M111" s="5">
        <v>0.15</v>
      </c>
      <c r="N111" s="5">
        <v>4.5</v>
      </c>
      <c r="O111" s="5">
        <v>2.5</v>
      </c>
      <c r="P111" s="2">
        <v>7.0342712427062297</v>
      </c>
      <c r="Q111" s="2">
        <v>8.7729993565389908</v>
      </c>
      <c r="R111" s="2">
        <v>6.83649479199903</v>
      </c>
      <c r="S111" s="2">
        <v>6.7730739103821902</v>
      </c>
    </row>
    <row r="112" spans="2:19" x14ac:dyDescent="0.3">
      <c r="B112" s="2" t="s">
        <v>31</v>
      </c>
      <c r="C112" s="2">
        <v>266</v>
      </c>
      <c r="D112" s="2">
        <v>17.044746642814101</v>
      </c>
      <c r="E112" s="2">
        <v>-46.830056521456399</v>
      </c>
      <c r="F112" s="2">
        <f t="shared" si="10"/>
        <v>49.835505233924572</v>
      </c>
      <c r="G112" s="2">
        <v>450</v>
      </c>
      <c r="H112" s="2">
        <f t="shared" si="11"/>
        <v>49.835505233924572</v>
      </c>
      <c r="I112" s="2">
        <v>0</v>
      </c>
      <c r="J112" s="2">
        <v>0</v>
      </c>
      <c r="K112" s="2">
        <v>450</v>
      </c>
      <c r="L112" s="2">
        <v>41.7</v>
      </c>
      <c r="M112" s="5">
        <v>1</v>
      </c>
      <c r="N112" s="5">
        <v>2.2999999999999998</v>
      </c>
      <c r="O112" s="5">
        <v>1.9</v>
      </c>
      <c r="P112" s="2">
        <v>8.4320879644684599</v>
      </c>
      <c r="Q112" s="2">
        <v>9.8545460404792706</v>
      </c>
      <c r="R112" s="2">
        <v>6.2392755083909801</v>
      </c>
      <c r="S112" s="2">
        <v>7.9666894149997498</v>
      </c>
    </row>
    <row r="113" spans="2:19" x14ac:dyDescent="0.3">
      <c r="B113" s="2" t="s">
        <v>20</v>
      </c>
      <c r="C113" s="2">
        <v>286</v>
      </c>
      <c r="D113" s="2">
        <v>7.5754429523619002</v>
      </c>
      <c r="E113" s="2">
        <v>-20.8133584539809</v>
      </c>
      <c r="F113" s="2">
        <f t="shared" si="10"/>
        <v>22.149113437300098</v>
      </c>
      <c r="G113" s="2">
        <v>450</v>
      </c>
      <c r="H113" s="2">
        <f t="shared" si="11"/>
        <v>22.149113437300098</v>
      </c>
      <c r="I113" s="2">
        <v>0</v>
      </c>
      <c r="J113" s="2">
        <v>0</v>
      </c>
      <c r="K113" s="2">
        <v>450</v>
      </c>
      <c r="L113" s="2">
        <v>38</v>
      </c>
      <c r="M113" s="5">
        <v>0.15</v>
      </c>
      <c r="N113" s="5">
        <v>5.75</v>
      </c>
      <c r="O113" s="5">
        <v>3.45</v>
      </c>
      <c r="P113" s="2">
        <v>4.5642838678134297</v>
      </c>
      <c r="Q113" s="2">
        <v>5.0843375445112899</v>
      </c>
      <c r="R113" s="2">
        <v>2.9678090055726001</v>
      </c>
      <c r="S113" s="2">
        <v>4.2743731009896297</v>
      </c>
    </row>
    <row r="114" spans="2:19" x14ac:dyDescent="0.3">
      <c r="B114" s="4" t="s">
        <v>32</v>
      </c>
      <c r="C114" s="4">
        <v>292</v>
      </c>
      <c r="D114" s="4">
        <v>4.7346518452263497</v>
      </c>
      <c r="E114" s="4">
        <v>-13.0083490337386</v>
      </c>
      <c r="F114" s="4">
        <f t="shared" si="10"/>
        <v>13.843195898313123</v>
      </c>
      <c r="G114" s="4">
        <v>450</v>
      </c>
      <c r="H114" s="4">
        <f t="shared" si="11"/>
        <v>13.843195898313123</v>
      </c>
      <c r="I114" s="4">
        <v>0</v>
      </c>
      <c r="J114" s="4">
        <v>0</v>
      </c>
      <c r="K114" s="4">
        <v>450</v>
      </c>
      <c r="L114" s="4">
        <v>30</v>
      </c>
      <c r="M114" s="6">
        <v>1</v>
      </c>
      <c r="N114" s="6">
        <v>2.2999999999999998</v>
      </c>
      <c r="O114" s="6">
        <v>1.9</v>
      </c>
      <c r="P114" s="4">
        <v>4.13220948163716</v>
      </c>
      <c r="Q114" s="4">
        <v>4.3774309259790103</v>
      </c>
      <c r="R114" s="4">
        <v>2.38952945207597</v>
      </c>
      <c r="S114" s="4">
        <v>3.8371891486696699</v>
      </c>
    </row>
  </sheetData>
  <mergeCells count="6">
    <mergeCell ref="B97:S97"/>
    <mergeCell ref="B2:S2"/>
    <mergeCell ref="B21:S21"/>
    <mergeCell ref="B40:S40"/>
    <mergeCell ref="B59:S59"/>
    <mergeCell ref="B78:S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Allouch</dc:creator>
  <cp:lastModifiedBy>Anas Allouch</cp:lastModifiedBy>
  <dcterms:created xsi:type="dcterms:W3CDTF">2015-06-05T18:17:20Z</dcterms:created>
  <dcterms:modified xsi:type="dcterms:W3CDTF">2025-12-10T21:52:58Z</dcterms:modified>
</cp:coreProperties>
</file>