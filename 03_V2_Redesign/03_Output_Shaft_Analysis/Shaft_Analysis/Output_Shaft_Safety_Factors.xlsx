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asa\OneDrive\Desktop\Gearbox Project\V2_Redesign\Excel\"/>
    </mc:Choice>
  </mc:AlternateContent>
  <xr:revisionPtr revIDLastSave="0" documentId="13_ncr:1_{A222C636-65C1-43F0-8549-9BAF6087D6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H39" i="1" s="1"/>
  <c r="F38" i="1"/>
  <c r="H38" i="1" s="1"/>
  <c r="F37" i="1"/>
  <c r="H37" i="1" s="1"/>
  <c r="F36" i="1"/>
  <c r="H36" i="1" s="1"/>
  <c r="F35" i="1"/>
  <c r="H35" i="1" s="1"/>
  <c r="F34" i="1"/>
  <c r="H34" i="1" s="1"/>
  <c r="F33" i="1"/>
  <c r="H33" i="1" s="1"/>
  <c r="F32" i="1"/>
  <c r="H32" i="1" s="1"/>
  <c r="F31" i="1"/>
  <c r="H31" i="1" s="1"/>
  <c r="F30" i="1"/>
  <c r="H30" i="1" s="1"/>
  <c r="F26" i="1"/>
  <c r="H26" i="1" s="1"/>
  <c r="F25" i="1"/>
  <c r="H25" i="1" s="1"/>
  <c r="F24" i="1"/>
  <c r="H24" i="1" s="1"/>
  <c r="F23" i="1"/>
  <c r="H23" i="1" s="1"/>
  <c r="F22" i="1"/>
  <c r="H22" i="1" s="1"/>
  <c r="F21" i="1"/>
  <c r="H21" i="1" s="1"/>
  <c r="F20" i="1"/>
  <c r="H20" i="1" s="1"/>
  <c r="F19" i="1"/>
  <c r="H19" i="1" s="1"/>
  <c r="F18" i="1"/>
  <c r="H18" i="1" s="1"/>
  <c r="F17" i="1"/>
  <c r="H17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4" i="1"/>
  <c r="H4" i="1" s="1"/>
</calcChain>
</file>

<file path=xl/sharedStrings.xml><?xml version="1.0" encoding="utf-8"?>
<sst xmlns="http://schemas.openxmlformats.org/spreadsheetml/2006/main" count="87" uniqueCount="30">
  <si>
    <t>feature</t>
  </si>
  <si>
    <t>location
[mm]</t>
  </si>
  <si>
    <t>Mxy
[Nm]</t>
  </si>
  <si>
    <t>Mxz
[Nm]</t>
  </si>
  <si>
    <t>Mmax
[Nm]</t>
  </si>
  <si>
    <t>Tmax
[Nm]</t>
  </si>
  <si>
    <t>Ma
[Nm]</t>
  </si>
  <si>
    <t>Mm
[Nm]</t>
  </si>
  <si>
    <t>Ta
[Nm]</t>
  </si>
  <si>
    <t>Tm
[Nm]</t>
  </si>
  <si>
    <t>shaft diameter
[mm]</t>
  </si>
  <si>
    <t>notch radius
[mm]</t>
  </si>
  <si>
    <t>kt</t>
  </si>
  <si>
    <t>kts</t>
  </si>
  <si>
    <t>SF_Goodman</t>
  </si>
  <si>
    <t>SF_Gerber</t>
  </si>
  <si>
    <t>SF_ASMEelliptic</t>
  </si>
  <si>
    <t>SF_Soderberg</t>
  </si>
  <si>
    <t>shoulder bearing A</t>
  </si>
  <si>
    <t>groove</t>
  </si>
  <si>
    <t>shoulder after reverse</t>
  </si>
  <si>
    <t>shoulder after gear 1</t>
  </si>
  <si>
    <t>shoulder after gear 3</t>
  </si>
  <si>
    <t>shoulder bearing B</t>
  </si>
  <si>
    <t>shoulder before gear 1</t>
  </si>
  <si>
    <t xml:space="preserve">dog sleeve keyseat gear 4 - 5 </t>
  </si>
  <si>
    <t xml:space="preserve">dog sleeve keyseat gear 2 - 3 </t>
  </si>
  <si>
    <t>Output Shaft Gear 1 - Rev</t>
  </si>
  <si>
    <t>Output Shaft Gear 4 - 5</t>
  </si>
  <si>
    <t>Output Shaft Gear 2 - 3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</si>
</sst>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9"/>
  <sheetViews>
    <sheetView tabSelected="1" workbookViewId="0">
      <selection activeCell="L24" sqref="L24"/>
    </sheetView>
  </sheetViews>
  <sheetFormatPr defaultRowHeight="14.4" x14ac:dyDescent="0.3"/>
  <cols>
    <col min="2" max="2" width="25" bestFit="1" customWidth="1"/>
    <col min="3" max="3" width="7.6640625" bestFit="1" customWidth="1"/>
    <col min="4" max="4" width="12" bestFit="1" customWidth="1"/>
    <col min="5" max="5" width="12.6640625" bestFit="1" customWidth="1"/>
    <col min="6" max="6" width="12" bestFit="1" customWidth="1"/>
    <col min="7" max="7" width="5.44140625" bestFit="1" customWidth="1"/>
    <col min="8" max="8" width="12" bestFit="1" customWidth="1"/>
    <col min="9" max="9" width="5.21875" bestFit="1" customWidth="1"/>
    <col min="16" max="17" width="12" bestFit="1" customWidth="1"/>
    <col min="18" max="18" width="13.88671875" bestFit="1" customWidth="1"/>
    <col min="19" max="19" width="12" bestFit="1" customWidth="1"/>
  </cols>
  <sheetData>
    <row r="2" spans="2:19" x14ac:dyDescent="0.3">
      <c r="B2" s="1" t="s">
        <v>27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ht="43.2" x14ac:dyDescent="0.3"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</row>
    <row r="4" spans="2:19" x14ac:dyDescent="0.3">
      <c r="B4" s="2" t="s">
        <v>18</v>
      </c>
      <c r="C4" s="2">
        <v>10</v>
      </c>
      <c r="D4" s="2">
        <v>26.6368005662905</v>
      </c>
      <c r="E4" s="2">
        <v>-73.184008082399203</v>
      </c>
      <c r="F4" s="2">
        <f>SQRT(D4^2+E4^2)</f>
        <v>77.880794701986744</v>
      </c>
      <c r="G4" s="2">
        <v>450</v>
      </c>
      <c r="H4" s="2">
        <f>F4</f>
        <v>77.880794701986744</v>
      </c>
      <c r="I4" s="2">
        <v>0</v>
      </c>
      <c r="J4" s="2">
        <v>0</v>
      </c>
      <c r="K4" s="2">
        <v>450</v>
      </c>
      <c r="L4" s="2">
        <v>40</v>
      </c>
      <c r="M4" s="4">
        <v>1</v>
      </c>
      <c r="N4" s="4">
        <v>2.4</v>
      </c>
      <c r="O4" s="4">
        <v>2</v>
      </c>
      <c r="P4" s="2">
        <v>3.2227173200733401</v>
      </c>
      <c r="Q4" s="2">
        <v>3.6070587815083401</v>
      </c>
      <c r="R4" s="2">
        <v>2.1206023307017898</v>
      </c>
      <c r="S4" s="2">
        <v>3.0205317931014002</v>
      </c>
    </row>
    <row r="5" spans="2:19" x14ac:dyDescent="0.3">
      <c r="B5" s="2" t="s">
        <v>19</v>
      </c>
      <c r="C5" s="2">
        <v>15</v>
      </c>
      <c r="D5" s="2">
        <v>39.955200849435698</v>
      </c>
      <c r="E5" s="2">
        <v>-109.776012123599</v>
      </c>
      <c r="F5" s="2">
        <f t="shared" ref="F5:F13" si="0">SQRT(D5^2+E5^2)</f>
        <v>116.82119205298028</v>
      </c>
      <c r="G5" s="2">
        <v>450</v>
      </c>
      <c r="H5" s="2">
        <f t="shared" ref="H5:H13" si="1">F5</f>
        <v>116.82119205298028</v>
      </c>
      <c r="I5" s="2">
        <v>0</v>
      </c>
      <c r="J5" s="2">
        <v>0</v>
      </c>
      <c r="K5" s="2">
        <v>450</v>
      </c>
      <c r="L5" s="2">
        <v>48</v>
      </c>
      <c r="M5" s="4">
        <v>0.15</v>
      </c>
      <c r="N5" s="4">
        <v>4.5</v>
      </c>
      <c r="O5" s="4">
        <v>2.5</v>
      </c>
      <c r="P5" s="2">
        <v>3.8227601914066001</v>
      </c>
      <c r="Q5" s="2">
        <v>4.58025266091592</v>
      </c>
      <c r="R5" s="2">
        <v>3.0617348815444001</v>
      </c>
      <c r="S5" s="2">
        <v>3.6309961409212801</v>
      </c>
    </row>
    <row r="6" spans="2:19" x14ac:dyDescent="0.3">
      <c r="B6" s="2" t="s">
        <v>20</v>
      </c>
      <c r="C6" s="2">
        <v>56</v>
      </c>
      <c r="D6" s="2">
        <v>149.166083171227</v>
      </c>
      <c r="E6" s="2">
        <v>-409.83044526143601</v>
      </c>
      <c r="F6" s="2">
        <f t="shared" si="0"/>
        <v>436.13245033112622</v>
      </c>
      <c r="G6" s="2">
        <v>450</v>
      </c>
      <c r="H6" s="2">
        <f t="shared" si="1"/>
        <v>436.13245033112622</v>
      </c>
      <c r="I6" s="2">
        <v>0</v>
      </c>
      <c r="J6" s="2">
        <v>0</v>
      </c>
      <c r="K6" s="2">
        <v>450</v>
      </c>
      <c r="L6" s="2">
        <v>50</v>
      </c>
      <c r="M6" s="4">
        <v>1</v>
      </c>
      <c r="N6" s="4">
        <v>2.2999999999999998</v>
      </c>
      <c r="O6" s="4">
        <v>1.65</v>
      </c>
      <c r="P6" s="2">
        <v>3.2963280735818299</v>
      </c>
      <c r="Q6" s="2">
        <v>4.0980221330734503</v>
      </c>
      <c r="R6" s="2">
        <v>3.5326302465267698</v>
      </c>
      <c r="S6" s="2">
        <v>3.2027803670250998</v>
      </c>
    </row>
    <row r="7" spans="2:19" x14ac:dyDescent="0.3">
      <c r="B7" s="2" t="s">
        <v>24</v>
      </c>
      <c r="C7" s="2">
        <v>86</v>
      </c>
      <c r="D7" s="2">
        <v>229.076484870098</v>
      </c>
      <c r="E7" s="2">
        <v>-629.38246950863299</v>
      </c>
      <c r="F7" s="2">
        <f t="shared" si="0"/>
        <v>669.7748344370857</v>
      </c>
      <c r="G7" s="2">
        <v>450</v>
      </c>
      <c r="H7" s="2">
        <f t="shared" si="1"/>
        <v>669.7748344370857</v>
      </c>
      <c r="I7" s="2">
        <v>0</v>
      </c>
      <c r="J7" s="2">
        <v>0</v>
      </c>
      <c r="K7" s="2">
        <v>450</v>
      </c>
      <c r="L7" s="2">
        <v>50</v>
      </c>
      <c r="M7" s="4">
        <v>1</v>
      </c>
      <c r="N7" s="4">
        <v>2.2999999999999998</v>
      </c>
      <c r="O7" s="4">
        <v>1.65</v>
      </c>
      <c r="P7" s="2">
        <v>2.4313320559229901</v>
      </c>
      <c r="Q7" s="2">
        <v>2.9416744242228798</v>
      </c>
      <c r="R7" s="2">
        <v>2.7189485701520599</v>
      </c>
      <c r="S7" s="2">
        <v>2.38005687872284</v>
      </c>
    </row>
    <row r="8" spans="2:19" x14ac:dyDescent="0.3">
      <c r="B8" s="2" t="s">
        <v>21</v>
      </c>
      <c r="C8" s="2">
        <v>126</v>
      </c>
      <c r="D8" s="2">
        <v>253.5388527371</v>
      </c>
      <c r="E8" s="2">
        <v>-696.59227284961196</v>
      </c>
      <c r="F8" s="2">
        <f t="shared" si="0"/>
        <v>741.29801324503296</v>
      </c>
      <c r="G8" s="2">
        <v>450</v>
      </c>
      <c r="H8" s="2">
        <f t="shared" si="1"/>
        <v>741.29801324503296</v>
      </c>
      <c r="I8" s="2">
        <v>0</v>
      </c>
      <c r="J8" s="2">
        <v>0</v>
      </c>
      <c r="K8" s="2">
        <v>450</v>
      </c>
      <c r="L8" s="2">
        <v>45</v>
      </c>
      <c r="M8" s="4">
        <v>1</v>
      </c>
      <c r="N8" s="4">
        <v>2.25</v>
      </c>
      <c r="O8" s="4">
        <v>1.65</v>
      </c>
      <c r="P8" s="2">
        <v>1.6815959444547</v>
      </c>
      <c r="Q8" s="2">
        <v>2.0226060879471501</v>
      </c>
      <c r="R8" s="2">
        <v>1.8853393445773801</v>
      </c>
      <c r="S8" s="2">
        <v>1.6479134627486001</v>
      </c>
    </row>
    <row r="9" spans="2:19" x14ac:dyDescent="0.3">
      <c r="B9" s="2" t="s">
        <v>26</v>
      </c>
      <c r="C9" s="2">
        <v>171</v>
      </c>
      <c r="D9" s="2">
        <v>188.713577889546</v>
      </c>
      <c r="E9" s="2">
        <v>-518.48629399601805</v>
      </c>
      <c r="F9" s="2">
        <f t="shared" si="0"/>
        <v>551.76158940397352</v>
      </c>
      <c r="G9" s="2">
        <v>450</v>
      </c>
      <c r="H9" s="2">
        <f t="shared" si="1"/>
        <v>551.76158940397352</v>
      </c>
      <c r="I9" s="2">
        <v>0</v>
      </c>
      <c r="J9" s="2">
        <v>0</v>
      </c>
      <c r="K9" s="2">
        <v>450</v>
      </c>
      <c r="L9" s="2">
        <v>45</v>
      </c>
      <c r="M9" s="4">
        <v>0.9</v>
      </c>
      <c r="N9" s="4">
        <v>2.14</v>
      </c>
      <c r="O9" s="4">
        <v>3</v>
      </c>
      <c r="P9" s="2">
        <v>1.7579130005307499</v>
      </c>
      <c r="Q9" s="2">
        <v>2.1943154413952102</v>
      </c>
      <c r="R9" s="2">
        <v>1.7256031091866</v>
      </c>
      <c r="S9" s="2">
        <v>1.6939734476072701</v>
      </c>
    </row>
    <row r="10" spans="2:19" x14ac:dyDescent="0.3">
      <c r="B10" s="2" t="s">
        <v>22</v>
      </c>
      <c r="C10" s="2">
        <v>211</v>
      </c>
      <c r="D10" s="2">
        <v>131.091111358387</v>
      </c>
      <c r="E10" s="2">
        <v>-360.169868348379</v>
      </c>
      <c r="F10" s="2">
        <f t="shared" si="0"/>
        <v>383.28476821192055</v>
      </c>
      <c r="G10" s="2">
        <v>450</v>
      </c>
      <c r="H10" s="2">
        <f t="shared" si="1"/>
        <v>383.28476821192055</v>
      </c>
      <c r="I10" s="2">
        <v>0</v>
      </c>
      <c r="J10" s="2">
        <v>0</v>
      </c>
      <c r="K10" s="2">
        <v>450</v>
      </c>
      <c r="L10" s="2">
        <v>40</v>
      </c>
      <c r="M10" s="4">
        <v>1</v>
      </c>
      <c r="N10" s="4">
        <v>2.25</v>
      </c>
      <c r="O10" s="4">
        <v>1.55</v>
      </c>
      <c r="P10" s="5">
        <v>1.92926504681906</v>
      </c>
      <c r="Q10" s="5">
        <v>2.4070743003881701</v>
      </c>
      <c r="R10" s="5">
        <v>2.0267742290904902</v>
      </c>
      <c r="S10" s="5">
        <v>1.8703869312594199</v>
      </c>
    </row>
    <row r="11" spans="2:19" x14ac:dyDescent="0.3">
      <c r="B11" s="2" t="s">
        <v>25</v>
      </c>
      <c r="C11" s="2">
        <v>251</v>
      </c>
      <c r="D11" s="2">
        <v>73.468644827227806</v>
      </c>
      <c r="E11" s="2">
        <v>-201.85344270074</v>
      </c>
      <c r="F11" s="2">
        <f t="shared" si="0"/>
        <v>214.80794701986767</v>
      </c>
      <c r="G11" s="2">
        <v>450</v>
      </c>
      <c r="H11" s="2">
        <f t="shared" si="1"/>
        <v>214.80794701986767</v>
      </c>
      <c r="I11" s="2">
        <v>0</v>
      </c>
      <c r="J11" s="2">
        <v>0</v>
      </c>
      <c r="K11" s="2">
        <v>450</v>
      </c>
      <c r="L11" s="2">
        <v>40</v>
      </c>
      <c r="M11" s="4">
        <v>0.9</v>
      </c>
      <c r="N11" s="4">
        <v>2.14</v>
      </c>
      <c r="O11" s="4">
        <v>3</v>
      </c>
      <c r="P11" s="2">
        <v>1.89467717268645</v>
      </c>
      <c r="Q11" s="2">
        <v>2.21946905223722</v>
      </c>
      <c r="R11" s="2">
        <v>1.41172377102268</v>
      </c>
      <c r="S11" s="2">
        <v>1.7909388625282701</v>
      </c>
    </row>
    <row r="12" spans="2:19" x14ac:dyDescent="0.3">
      <c r="B12" s="2" t="s">
        <v>19</v>
      </c>
      <c r="C12" s="2">
        <v>286</v>
      </c>
      <c r="D12" s="2">
        <v>23.048986612463601</v>
      </c>
      <c r="E12" s="2">
        <v>-63.326570259055103</v>
      </c>
      <c r="F12" s="2">
        <f t="shared" si="0"/>
        <v>67.390728476820669</v>
      </c>
      <c r="G12" s="2">
        <v>450</v>
      </c>
      <c r="H12" s="2">
        <f t="shared" si="1"/>
        <v>67.390728476820669</v>
      </c>
      <c r="I12" s="2">
        <v>0</v>
      </c>
      <c r="J12" s="2">
        <v>0</v>
      </c>
      <c r="K12" s="2">
        <v>450</v>
      </c>
      <c r="L12" s="2">
        <v>38</v>
      </c>
      <c r="M12" s="4">
        <v>0.15</v>
      </c>
      <c r="N12" s="4">
        <v>4.5999999999999996</v>
      </c>
      <c r="O12" s="4">
        <v>2.75</v>
      </c>
      <c r="P12" s="2">
        <v>2.1360261622114498</v>
      </c>
      <c r="Q12" s="2">
        <v>2.4169905836138001</v>
      </c>
      <c r="R12" s="2">
        <v>1.4453454005433399</v>
      </c>
      <c r="S12" s="2">
        <v>2.0058953460088702</v>
      </c>
    </row>
    <row r="13" spans="2:19" x14ac:dyDescent="0.3">
      <c r="B13" s="6" t="s">
        <v>23</v>
      </c>
      <c r="C13" s="6">
        <v>292</v>
      </c>
      <c r="D13" s="6">
        <v>14.405616632789799</v>
      </c>
      <c r="E13" s="6">
        <v>-39.579106411909699</v>
      </c>
      <c r="F13" s="6">
        <f t="shared" si="0"/>
        <v>42.119205298013178</v>
      </c>
      <c r="G13" s="6">
        <v>450</v>
      </c>
      <c r="H13" s="6">
        <f t="shared" si="1"/>
        <v>42.119205298013178</v>
      </c>
      <c r="I13" s="6">
        <v>0</v>
      </c>
      <c r="J13" s="6">
        <v>0</v>
      </c>
      <c r="K13" s="6">
        <v>450</v>
      </c>
      <c r="L13" s="6">
        <v>30</v>
      </c>
      <c r="M13" s="7">
        <v>1</v>
      </c>
      <c r="N13" s="7">
        <v>2.2999999999999998</v>
      </c>
      <c r="O13" s="7">
        <v>1.9</v>
      </c>
      <c r="P13" s="6">
        <v>1.6013019856355699</v>
      </c>
      <c r="Q13" s="6">
        <v>1.7137005274450701</v>
      </c>
      <c r="R13" s="6">
        <v>0.94725380151819505</v>
      </c>
      <c r="S13" s="6">
        <v>1.48947097759076</v>
      </c>
    </row>
    <row r="14" spans="2:19" x14ac:dyDescent="0.3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9"/>
      <c r="O14" s="9"/>
      <c r="P14" s="8"/>
      <c r="Q14" s="8"/>
      <c r="R14" s="8"/>
      <c r="S14" s="8"/>
    </row>
    <row r="15" spans="2:19" x14ac:dyDescent="0.3">
      <c r="B15" s="1" t="s">
        <v>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2:19" ht="43.2" x14ac:dyDescent="0.3">
      <c r="B16" s="2" t="s">
        <v>0</v>
      </c>
      <c r="C16" s="3" t="s">
        <v>1</v>
      </c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3" t="s">
        <v>9</v>
      </c>
      <c r="L16" s="3" t="s">
        <v>10</v>
      </c>
      <c r="M16" s="3" t="s">
        <v>11</v>
      </c>
      <c r="N16" s="2" t="s">
        <v>12</v>
      </c>
      <c r="O16" s="2" t="s">
        <v>13</v>
      </c>
      <c r="P16" s="2" t="s">
        <v>14</v>
      </c>
      <c r="Q16" s="2" t="s">
        <v>15</v>
      </c>
      <c r="R16" s="2" t="s">
        <v>16</v>
      </c>
      <c r="S16" s="2" t="s">
        <v>17</v>
      </c>
    </row>
    <row r="17" spans="2:19" x14ac:dyDescent="0.3">
      <c r="B17" s="2" t="s">
        <v>18</v>
      </c>
      <c r="C17" s="2">
        <v>10</v>
      </c>
      <c r="D17" s="2">
        <v>17.645345997254601</v>
      </c>
      <c r="E17" s="2">
        <v>-48.480189685921097</v>
      </c>
      <c r="F17" s="2">
        <f>SQRT(D17^2+E17^2)</f>
        <v>51.591540269173194</v>
      </c>
      <c r="G17" s="2">
        <v>450</v>
      </c>
      <c r="H17" s="2">
        <f>F17</f>
        <v>51.591540269173194</v>
      </c>
      <c r="I17" s="2">
        <v>0</v>
      </c>
      <c r="J17" s="2">
        <v>0</v>
      </c>
      <c r="K17" s="2">
        <v>450</v>
      </c>
      <c r="L17" s="2">
        <v>40</v>
      </c>
      <c r="M17" s="4">
        <v>1</v>
      </c>
      <c r="N17" s="4">
        <v>2.4</v>
      </c>
      <c r="O17" s="4">
        <v>2</v>
      </c>
      <c r="P17" s="2">
        <v>4.5125244529388304</v>
      </c>
      <c r="Q17" s="2">
        <v>5.0114601524052897</v>
      </c>
      <c r="R17" s="2">
        <v>2.9122345566009802</v>
      </c>
      <c r="S17" s="2">
        <v>4.2236791788966697</v>
      </c>
    </row>
    <row r="18" spans="2:19" x14ac:dyDescent="0.3">
      <c r="B18" s="2" t="s">
        <v>19</v>
      </c>
      <c r="C18" s="2">
        <v>15</v>
      </c>
      <c r="D18" s="2">
        <v>26.468018995882002</v>
      </c>
      <c r="E18" s="2">
        <v>-72.720284528881706</v>
      </c>
      <c r="F18" s="2">
        <f t="shared" ref="F18:F26" si="2">SQRT(D18^2+E18^2)</f>
        <v>77.387310403759884</v>
      </c>
      <c r="G18" s="2">
        <v>450</v>
      </c>
      <c r="H18" s="2">
        <f t="shared" ref="H18:H26" si="3">F18</f>
        <v>77.387310403759884</v>
      </c>
      <c r="I18" s="2">
        <v>0</v>
      </c>
      <c r="J18" s="2">
        <v>0</v>
      </c>
      <c r="K18" s="2">
        <v>450</v>
      </c>
      <c r="L18" s="2">
        <v>48</v>
      </c>
      <c r="M18" s="4">
        <v>0.15</v>
      </c>
      <c r="N18" s="4">
        <v>4.5</v>
      </c>
      <c r="O18" s="4">
        <v>2.5</v>
      </c>
      <c r="P18" s="2">
        <v>5.4357969821908902</v>
      </c>
      <c r="Q18" s="2">
        <v>6.4585380457959101</v>
      </c>
      <c r="R18" s="2">
        <v>4.23315417985207</v>
      </c>
      <c r="S18" s="2">
        <v>5.1534174345739503</v>
      </c>
    </row>
    <row r="19" spans="2:19" x14ac:dyDescent="0.3">
      <c r="B19" s="2" t="s">
        <v>20</v>
      </c>
      <c r="C19" s="2">
        <v>56</v>
      </c>
      <c r="D19" s="2">
        <v>98.813937584626004</v>
      </c>
      <c r="E19" s="2">
        <v>-271.48906224115802</v>
      </c>
      <c r="F19" s="2">
        <f t="shared" si="2"/>
        <v>288.91262550736985</v>
      </c>
      <c r="G19" s="2">
        <v>450</v>
      </c>
      <c r="H19" s="2">
        <f t="shared" si="3"/>
        <v>288.91262550736985</v>
      </c>
      <c r="I19" s="2">
        <v>0</v>
      </c>
      <c r="J19" s="2">
        <v>0</v>
      </c>
      <c r="K19" s="2">
        <v>450</v>
      </c>
      <c r="L19" s="2">
        <v>50</v>
      </c>
      <c r="M19" s="4">
        <v>1</v>
      </c>
      <c r="N19" s="4">
        <v>2.2999999999999998</v>
      </c>
      <c r="O19" s="4">
        <v>1.65</v>
      </c>
      <c r="P19" s="2">
        <v>4.8120544348191201</v>
      </c>
      <c r="Q19" s="2">
        <v>6.00113315340396</v>
      </c>
      <c r="R19" s="2">
        <v>5.0725977402016396</v>
      </c>
      <c r="S19" s="2">
        <v>4.6668628445189304</v>
      </c>
    </row>
    <row r="20" spans="2:19" x14ac:dyDescent="0.3">
      <c r="B20" s="2" t="s">
        <v>24</v>
      </c>
      <c r="C20" s="2">
        <v>86</v>
      </c>
      <c r="D20" s="2">
        <v>151.74997557639</v>
      </c>
      <c r="E20" s="2">
        <v>-416.929631298922</v>
      </c>
      <c r="F20" s="2">
        <f t="shared" si="2"/>
        <v>443.68724631489016</v>
      </c>
      <c r="G20" s="2">
        <v>450</v>
      </c>
      <c r="H20" s="2">
        <f t="shared" si="3"/>
        <v>443.68724631489016</v>
      </c>
      <c r="I20" s="2">
        <v>0</v>
      </c>
      <c r="J20" s="2">
        <v>0</v>
      </c>
      <c r="K20" s="2">
        <v>450</v>
      </c>
      <c r="L20" s="2">
        <v>50</v>
      </c>
      <c r="M20" s="4">
        <v>1</v>
      </c>
      <c r="N20" s="4">
        <v>2.2999999999999998</v>
      </c>
      <c r="O20" s="4">
        <v>1.65</v>
      </c>
      <c r="P20" s="2">
        <v>3.5802718542426399</v>
      </c>
      <c r="Q20" s="2">
        <v>4.3651285873545698</v>
      </c>
      <c r="R20" s="2">
        <v>3.9822256461651602</v>
      </c>
      <c r="S20" s="2">
        <v>3.4992728454810602</v>
      </c>
    </row>
    <row r="21" spans="2:19" x14ac:dyDescent="0.3">
      <c r="B21" s="2" t="s">
        <v>21</v>
      </c>
      <c r="C21" s="2">
        <v>126</v>
      </c>
      <c r="D21" s="2">
        <v>222.331359565409</v>
      </c>
      <c r="E21" s="2">
        <v>-610.85039004260705</v>
      </c>
      <c r="F21" s="2">
        <f t="shared" si="2"/>
        <v>650.05340739158373</v>
      </c>
      <c r="G21" s="2">
        <v>450</v>
      </c>
      <c r="H21" s="2">
        <f t="shared" si="3"/>
        <v>650.05340739158373</v>
      </c>
      <c r="I21" s="2">
        <v>0</v>
      </c>
      <c r="J21" s="2">
        <v>0</v>
      </c>
      <c r="K21" s="2">
        <v>450</v>
      </c>
      <c r="L21" s="2">
        <v>45</v>
      </c>
      <c r="M21" s="4">
        <v>1</v>
      </c>
      <c r="N21" s="4">
        <v>2.25</v>
      </c>
      <c r="O21" s="4">
        <v>1.65</v>
      </c>
      <c r="P21" s="2">
        <v>1.99644274813801</v>
      </c>
      <c r="Q21" s="2">
        <v>2.3614703270233899</v>
      </c>
      <c r="R21" s="2">
        <v>2.2431780693160199</v>
      </c>
      <c r="S21" s="2">
        <v>1.96170914467183</v>
      </c>
    </row>
    <row r="22" spans="2:19" x14ac:dyDescent="0.3">
      <c r="B22" s="2" t="s">
        <v>26</v>
      </c>
      <c r="C22" s="2">
        <v>171</v>
      </c>
      <c r="D22" s="2">
        <v>202.43924591011799</v>
      </c>
      <c r="E22" s="2">
        <v>-556.19725694947203</v>
      </c>
      <c r="F22" s="2">
        <f t="shared" si="2"/>
        <v>591.89275795770152</v>
      </c>
      <c r="G22" s="2">
        <v>450</v>
      </c>
      <c r="H22" s="2">
        <f t="shared" si="3"/>
        <v>591.89275795770152</v>
      </c>
      <c r="I22" s="2">
        <v>0</v>
      </c>
      <c r="J22" s="2">
        <v>0</v>
      </c>
      <c r="K22" s="2">
        <v>450</v>
      </c>
      <c r="L22" s="2">
        <v>45</v>
      </c>
      <c r="M22" s="4">
        <v>0.9</v>
      </c>
      <c r="N22" s="4">
        <v>2.14</v>
      </c>
      <c r="O22" s="4">
        <v>3</v>
      </c>
      <c r="P22" s="2">
        <v>1.9028999187758</v>
      </c>
      <c r="Q22" s="2">
        <v>2.3684026605792199</v>
      </c>
      <c r="R22" s="2">
        <v>2.0291155590075798</v>
      </c>
      <c r="S22" s="2">
        <v>1.84781282282291</v>
      </c>
    </row>
    <row r="23" spans="2:19" x14ac:dyDescent="0.3">
      <c r="B23" s="2" t="s">
        <v>22</v>
      </c>
      <c r="C23" s="2">
        <v>211</v>
      </c>
      <c r="D23" s="2">
        <v>140.62573570855599</v>
      </c>
      <c r="E23" s="2">
        <v>-386.36603345344997</v>
      </c>
      <c r="F23" s="2">
        <f t="shared" si="2"/>
        <v>411.16214484084628</v>
      </c>
      <c r="G23" s="2">
        <v>450</v>
      </c>
      <c r="H23" s="2">
        <f t="shared" si="3"/>
        <v>411.16214484084628</v>
      </c>
      <c r="I23" s="2">
        <v>0</v>
      </c>
      <c r="J23" s="2">
        <v>0</v>
      </c>
      <c r="K23" s="2">
        <v>450</v>
      </c>
      <c r="L23" s="2">
        <v>40</v>
      </c>
      <c r="M23" s="4">
        <v>1</v>
      </c>
      <c r="N23" s="4">
        <v>2.25</v>
      </c>
      <c r="O23" s="4">
        <v>1.55</v>
      </c>
      <c r="P23" s="5">
        <v>2.0339506673484</v>
      </c>
      <c r="Q23" s="5">
        <v>2.4910521312722702</v>
      </c>
      <c r="R23" s="5">
        <v>2.2517442501998302</v>
      </c>
      <c r="S23" s="5">
        <v>1.9858633383670199</v>
      </c>
    </row>
    <row r="24" spans="2:19" x14ac:dyDescent="0.3">
      <c r="B24" s="2" t="s">
        <v>25</v>
      </c>
      <c r="C24" s="2">
        <v>251</v>
      </c>
      <c r="D24" s="2">
        <v>78.812225506992604</v>
      </c>
      <c r="E24" s="2">
        <v>-216.534809957428</v>
      </c>
      <c r="F24" s="2">
        <f t="shared" si="2"/>
        <v>230.43153172399067</v>
      </c>
      <c r="G24" s="2">
        <v>450</v>
      </c>
      <c r="H24" s="2">
        <f t="shared" si="3"/>
        <v>230.43153172399067</v>
      </c>
      <c r="I24" s="2">
        <v>0</v>
      </c>
      <c r="J24" s="2">
        <v>0</v>
      </c>
      <c r="K24" s="2">
        <v>450</v>
      </c>
      <c r="L24" s="2">
        <v>40</v>
      </c>
      <c r="M24" s="4">
        <v>0.9</v>
      </c>
      <c r="N24" s="4">
        <v>2.14</v>
      </c>
      <c r="O24" s="4">
        <v>3</v>
      </c>
      <c r="P24" s="2">
        <v>2.24436828475495</v>
      </c>
      <c r="Q24" s="2">
        <v>2.7181209439882399</v>
      </c>
      <c r="R24" s="2">
        <v>1.8688121996718601</v>
      </c>
      <c r="S24" s="2">
        <v>2.1373628347346698</v>
      </c>
    </row>
    <row r="25" spans="2:19" x14ac:dyDescent="0.3">
      <c r="B25" s="2" t="s">
        <v>19</v>
      </c>
      <c r="C25" s="2">
        <v>286</v>
      </c>
      <c r="D25" s="2">
        <v>24.725404080625001</v>
      </c>
      <c r="E25" s="2">
        <v>-67.932489398408507</v>
      </c>
      <c r="F25" s="2">
        <f t="shared" si="2"/>
        <v>72.292245246741857</v>
      </c>
      <c r="G25" s="2">
        <v>450</v>
      </c>
      <c r="H25" s="2">
        <f t="shared" si="3"/>
        <v>72.292245246741857</v>
      </c>
      <c r="I25" s="2">
        <v>0</v>
      </c>
      <c r="J25" s="2">
        <v>0</v>
      </c>
      <c r="K25" s="2">
        <v>450</v>
      </c>
      <c r="L25" s="2">
        <v>38</v>
      </c>
      <c r="M25" s="4">
        <v>0.15</v>
      </c>
      <c r="N25" s="4">
        <v>4.5999999999999996</v>
      </c>
      <c r="O25" s="4">
        <v>2.75</v>
      </c>
      <c r="P25" s="2">
        <v>2.6152129507782398</v>
      </c>
      <c r="Q25" s="2">
        <v>3.0630910460895202</v>
      </c>
      <c r="R25" s="2">
        <v>1.94777505657781</v>
      </c>
      <c r="S25" s="2">
        <v>2.47195358605107</v>
      </c>
    </row>
    <row r="26" spans="2:19" x14ac:dyDescent="0.3">
      <c r="B26" s="6" t="s">
        <v>23</v>
      </c>
      <c r="C26" s="6">
        <v>292</v>
      </c>
      <c r="D26" s="6">
        <v>15.4533775503907</v>
      </c>
      <c r="E26" s="6">
        <v>-42.457805874005501</v>
      </c>
      <c r="F26" s="6">
        <f t="shared" si="2"/>
        <v>45.182653279213859</v>
      </c>
      <c r="G26" s="6">
        <v>450</v>
      </c>
      <c r="H26" s="6">
        <f t="shared" si="3"/>
        <v>45.182653279213859</v>
      </c>
      <c r="I26" s="6">
        <v>0</v>
      </c>
      <c r="J26" s="6">
        <v>0</v>
      </c>
      <c r="K26" s="6">
        <v>450</v>
      </c>
      <c r="L26" s="6">
        <v>30</v>
      </c>
      <c r="M26" s="7">
        <v>1</v>
      </c>
      <c r="N26" s="7">
        <v>2.2999999999999998</v>
      </c>
      <c r="O26" s="7">
        <v>1.9</v>
      </c>
      <c r="P26" s="6">
        <v>2.0622099590586598</v>
      </c>
      <c r="Q26" s="6">
        <v>2.2633511835573299</v>
      </c>
      <c r="R26" s="6">
        <v>1.2933500030911</v>
      </c>
      <c r="S26" s="6">
        <v>1.9263079478877201</v>
      </c>
    </row>
    <row r="28" spans="2:19" x14ac:dyDescent="0.3">
      <c r="B28" s="1" t="s">
        <v>28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ht="43.2" x14ac:dyDescent="0.3">
      <c r="B29" s="2" t="s">
        <v>0</v>
      </c>
      <c r="C29" s="3" t="s">
        <v>1</v>
      </c>
      <c r="D29" s="3" t="s">
        <v>2</v>
      </c>
      <c r="E29" s="3" t="s">
        <v>3</v>
      </c>
      <c r="F29" s="3" t="s">
        <v>4</v>
      </c>
      <c r="G29" s="3" t="s">
        <v>5</v>
      </c>
      <c r="H29" s="3" t="s">
        <v>6</v>
      </c>
      <c r="I29" s="3" t="s">
        <v>7</v>
      </c>
      <c r="J29" s="3" t="s">
        <v>8</v>
      </c>
      <c r="K29" s="3" t="s">
        <v>9</v>
      </c>
      <c r="L29" s="3" t="s">
        <v>10</v>
      </c>
      <c r="M29" s="3" t="s">
        <v>11</v>
      </c>
      <c r="N29" s="2" t="s">
        <v>12</v>
      </c>
      <c r="O29" s="2" t="s">
        <v>13</v>
      </c>
      <c r="P29" s="2" t="s">
        <v>14</v>
      </c>
      <c r="Q29" s="2" t="s">
        <v>15</v>
      </c>
      <c r="R29" s="2" t="s">
        <v>16</v>
      </c>
      <c r="S29" s="2" t="s">
        <v>17</v>
      </c>
    </row>
    <row r="30" spans="2:19" x14ac:dyDescent="0.3">
      <c r="B30" s="2" t="s">
        <v>18</v>
      </c>
      <c r="C30" s="2">
        <v>10</v>
      </c>
      <c r="D30" s="2">
        <v>6.5465008858167897</v>
      </c>
      <c r="E30" s="2">
        <v>-17.986363360221301</v>
      </c>
      <c r="F30" s="2">
        <f>SQRT(D30^2+E30^2)</f>
        <v>19.140688095622668</v>
      </c>
      <c r="G30" s="2">
        <v>450</v>
      </c>
      <c r="H30" s="2">
        <f>F30</f>
        <v>19.140688095622668</v>
      </c>
      <c r="I30" s="2">
        <v>0</v>
      </c>
      <c r="J30" s="2">
        <v>0</v>
      </c>
      <c r="K30" s="2">
        <v>450</v>
      </c>
      <c r="L30" s="2">
        <v>40</v>
      </c>
      <c r="M30" s="4">
        <v>1</v>
      </c>
      <c r="N30" s="4">
        <v>2.4</v>
      </c>
      <c r="O30" s="4">
        <v>2</v>
      </c>
      <c r="P30" s="2">
        <v>7.9233167440305499</v>
      </c>
      <c r="Q30" s="2">
        <v>8.4900287271995296</v>
      </c>
      <c r="R30" s="2">
        <v>4.7002304834312598</v>
      </c>
      <c r="S30" s="2">
        <v>7.3714879367468402</v>
      </c>
    </row>
    <row r="31" spans="2:19" x14ac:dyDescent="0.3">
      <c r="B31" s="2" t="s">
        <v>19</v>
      </c>
      <c r="C31" s="2">
        <v>15</v>
      </c>
      <c r="D31" s="2">
        <v>9.8197513287251805</v>
      </c>
      <c r="E31" s="2">
        <v>-26.979545040331999</v>
      </c>
      <c r="F31" s="2">
        <f t="shared" ref="F31:F39" si="4">SQRT(D31^2+E31^2)</f>
        <v>28.711032143434043</v>
      </c>
      <c r="G31" s="2">
        <v>450</v>
      </c>
      <c r="H31" s="2">
        <f t="shared" ref="H31:H39" si="5">F31</f>
        <v>28.711032143434043</v>
      </c>
      <c r="I31" s="2">
        <v>0</v>
      </c>
      <c r="J31" s="2">
        <v>0</v>
      </c>
      <c r="K31" s="2">
        <v>450</v>
      </c>
      <c r="L31" s="2">
        <v>48</v>
      </c>
      <c r="M31" s="4">
        <v>0.15</v>
      </c>
      <c r="N31" s="4">
        <v>4.5</v>
      </c>
      <c r="O31" s="4">
        <v>2.5</v>
      </c>
      <c r="P31" s="2">
        <v>10.2549216788198</v>
      </c>
      <c r="Q31" s="2">
        <v>11.629779144817199</v>
      </c>
      <c r="R31" s="2">
        <v>6.9796726566139498</v>
      </c>
      <c r="S31" s="2">
        <v>9.6340479884051202</v>
      </c>
    </row>
    <row r="32" spans="2:19" x14ac:dyDescent="0.3">
      <c r="B32" s="2" t="s">
        <v>20</v>
      </c>
      <c r="C32" s="2">
        <v>56</v>
      </c>
      <c r="D32" s="2">
        <v>36.660404960573999</v>
      </c>
      <c r="E32" s="2">
        <v>-100.723634817239</v>
      </c>
      <c r="F32" s="2">
        <f t="shared" si="4"/>
        <v>107.18785333548666</v>
      </c>
      <c r="G32" s="2">
        <v>450</v>
      </c>
      <c r="H32" s="2">
        <f t="shared" si="5"/>
        <v>107.18785333548666</v>
      </c>
      <c r="I32" s="2">
        <v>0</v>
      </c>
      <c r="J32" s="2">
        <v>0</v>
      </c>
      <c r="K32" s="2">
        <v>450</v>
      </c>
      <c r="L32" s="2">
        <v>50</v>
      </c>
      <c r="M32" s="4">
        <v>1</v>
      </c>
      <c r="N32" s="4">
        <v>2.2999999999999998</v>
      </c>
      <c r="O32" s="4">
        <v>1.65</v>
      </c>
      <c r="P32" s="2">
        <v>10.4311297125975</v>
      </c>
      <c r="Q32" s="2">
        <v>12.935458473275901</v>
      </c>
      <c r="R32" s="2">
        <v>9.6974848574572192</v>
      </c>
      <c r="S32" s="2">
        <v>10.010257824039799</v>
      </c>
    </row>
    <row r="33" spans="2:19" x14ac:dyDescent="0.3">
      <c r="B33" s="2" t="s">
        <v>24</v>
      </c>
      <c r="C33" s="2">
        <v>86</v>
      </c>
      <c r="D33" s="2">
        <v>56.299907618024399</v>
      </c>
      <c r="E33" s="2">
        <v>-154.682724897903</v>
      </c>
      <c r="F33" s="2">
        <f t="shared" si="4"/>
        <v>164.60991762235477</v>
      </c>
      <c r="G33" s="2">
        <v>450</v>
      </c>
      <c r="H33" s="2">
        <f t="shared" si="5"/>
        <v>164.60991762235477</v>
      </c>
      <c r="I33" s="2">
        <v>0</v>
      </c>
      <c r="J33" s="2">
        <v>0</v>
      </c>
      <c r="K33" s="2">
        <v>450</v>
      </c>
      <c r="L33" s="2">
        <v>50</v>
      </c>
      <c r="M33" s="4">
        <v>1</v>
      </c>
      <c r="N33" s="4">
        <v>2.2999999999999998</v>
      </c>
      <c r="O33" s="4">
        <v>1.65</v>
      </c>
      <c r="P33" s="2">
        <v>8.1704301833728206</v>
      </c>
      <c r="Q33" s="2">
        <v>10.2071361059179</v>
      </c>
      <c r="R33" s="2">
        <v>8.4624100594562393</v>
      </c>
      <c r="S33" s="2">
        <v>7.9099399648622004</v>
      </c>
    </row>
    <row r="34" spans="2:19" x14ac:dyDescent="0.3">
      <c r="B34" s="2" t="s">
        <v>21</v>
      </c>
      <c r="C34" s="2">
        <v>126</v>
      </c>
      <c r="D34" s="2">
        <v>82.485911161291497</v>
      </c>
      <c r="E34" s="2">
        <v>-226.62817833878901</v>
      </c>
      <c r="F34" s="2">
        <f t="shared" si="4"/>
        <v>241.1726700048462</v>
      </c>
      <c r="G34" s="2">
        <v>450</v>
      </c>
      <c r="H34" s="2">
        <f t="shared" si="5"/>
        <v>241.1726700048462</v>
      </c>
      <c r="I34" s="2">
        <v>0</v>
      </c>
      <c r="J34" s="2">
        <v>0</v>
      </c>
      <c r="K34" s="2">
        <v>450</v>
      </c>
      <c r="L34" s="2">
        <v>45</v>
      </c>
      <c r="M34" s="4">
        <v>1</v>
      </c>
      <c r="N34" s="4">
        <v>2.25</v>
      </c>
      <c r="O34" s="4">
        <v>1.65</v>
      </c>
      <c r="P34" s="2">
        <v>4.7264007625576596</v>
      </c>
      <c r="Q34" s="2">
        <v>5.8288851381034297</v>
      </c>
      <c r="R34" s="2">
        <v>5.1779413146227604</v>
      </c>
      <c r="S34" s="2">
        <v>4.6060348414533703</v>
      </c>
    </row>
    <row r="35" spans="2:19" x14ac:dyDescent="0.3">
      <c r="B35" s="2" t="s">
        <v>26</v>
      </c>
      <c r="C35" s="2">
        <v>171</v>
      </c>
      <c r="D35" s="2">
        <v>111.94516514746699</v>
      </c>
      <c r="E35" s="2">
        <v>-307.56681345978399</v>
      </c>
      <c r="F35" s="2">
        <f t="shared" si="4"/>
        <v>327.30576643514735</v>
      </c>
      <c r="G35" s="2">
        <v>450</v>
      </c>
      <c r="H35" s="2">
        <f t="shared" si="5"/>
        <v>327.30576643514735</v>
      </c>
      <c r="I35" s="2">
        <v>0</v>
      </c>
      <c r="J35" s="2">
        <v>0</v>
      </c>
      <c r="K35" s="2">
        <v>450</v>
      </c>
      <c r="L35" s="2">
        <v>45</v>
      </c>
      <c r="M35" s="4">
        <v>0.9</v>
      </c>
      <c r="N35" s="4">
        <v>2.14</v>
      </c>
      <c r="O35" s="4">
        <v>3</v>
      </c>
      <c r="P35" s="2">
        <v>3.2971552638973201</v>
      </c>
      <c r="Q35" s="2">
        <v>4.1167830543767403</v>
      </c>
      <c r="R35" s="2">
        <v>3.4398298912721099</v>
      </c>
      <c r="S35" s="2">
        <v>3.1942880802029499</v>
      </c>
    </row>
    <row r="36" spans="2:19" x14ac:dyDescent="0.3">
      <c r="B36" s="2" t="s">
        <v>22</v>
      </c>
      <c r="C36" s="2">
        <v>211</v>
      </c>
      <c r="D36" s="2">
        <v>138.131168690734</v>
      </c>
      <c r="E36" s="2">
        <v>-379.51226690067</v>
      </c>
      <c r="F36" s="2">
        <f t="shared" si="4"/>
        <v>403.86851881763869</v>
      </c>
      <c r="G36" s="2">
        <v>450</v>
      </c>
      <c r="H36" s="2">
        <f t="shared" si="5"/>
        <v>403.86851881763869</v>
      </c>
      <c r="I36" s="2">
        <v>0</v>
      </c>
      <c r="J36" s="2">
        <v>0</v>
      </c>
      <c r="K36" s="2">
        <v>450</v>
      </c>
      <c r="L36" s="2">
        <v>40</v>
      </c>
      <c r="M36" s="4">
        <v>1</v>
      </c>
      <c r="N36" s="4">
        <v>2.25</v>
      </c>
      <c r="O36" s="4">
        <v>1.55</v>
      </c>
      <c r="P36" s="5">
        <v>2.30518569310758</v>
      </c>
      <c r="Q36" s="5">
        <v>2.71565932778209</v>
      </c>
      <c r="R36" s="5">
        <v>2.5892378476223601</v>
      </c>
      <c r="S36" s="5">
        <v>2.2664088481386702</v>
      </c>
    </row>
    <row r="37" spans="2:19" x14ac:dyDescent="0.3">
      <c r="B37" s="2" t="s">
        <v>25</v>
      </c>
      <c r="C37" s="2">
        <v>251</v>
      </c>
      <c r="D37" s="2">
        <v>94.244752625815593</v>
      </c>
      <c r="E37" s="2">
        <v>-258.93532974151498</v>
      </c>
      <c r="F37" s="2">
        <f t="shared" si="4"/>
        <v>275.5532224196412</v>
      </c>
      <c r="G37" s="2">
        <v>450</v>
      </c>
      <c r="H37" s="2">
        <f t="shared" si="5"/>
        <v>275.5532224196412</v>
      </c>
      <c r="I37" s="2">
        <v>0</v>
      </c>
      <c r="J37" s="2">
        <v>0</v>
      </c>
      <c r="K37" s="2">
        <v>450</v>
      </c>
      <c r="L37" s="2">
        <v>40</v>
      </c>
      <c r="M37" s="4">
        <v>0.9</v>
      </c>
      <c r="N37" s="4">
        <v>2.14</v>
      </c>
      <c r="O37" s="4">
        <v>3</v>
      </c>
      <c r="P37" s="2">
        <v>2.5908413805669701</v>
      </c>
      <c r="Q37" s="2">
        <v>3.23773111720118</v>
      </c>
      <c r="R37" s="2">
        <v>2.5950268029635399</v>
      </c>
      <c r="S37" s="2">
        <v>2.5007402286960199</v>
      </c>
    </row>
    <row r="38" spans="2:19" x14ac:dyDescent="0.3">
      <c r="B38" s="2" t="s">
        <v>19</v>
      </c>
      <c r="C38" s="2">
        <v>286</v>
      </c>
      <c r="D38" s="2">
        <v>29.5669812159421</v>
      </c>
      <c r="E38" s="2">
        <v>-81.234613252239896</v>
      </c>
      <c r="F38" s="2">
        <f t="shared" si="4"/>
        <v>86.44806977871086</v>
      </c>
      <c r="G38" s="2">
        <v>450</v>
      </c>
      <c r="H38" s="2">
        <f t="shared" si="5"/>
        <v>86.44806977871086</v>
      </c>
      <c r="I38" s="2">
        <v>0</v>
      </c>
      <c r="J38" s="2">
        <v>0</v>
      </c>
      <c r="K38" s="2">
        <v>450</v>
      </c>
      <c r="L38" s="2">
        <v>38</v>
      </c>
      <c r="M38" s="4">
        <v>0.15</v>
      </c>
      <c r="N38" s="4">
        <v>4.5999999999999996</v>
      </c>
      <c r="O38" s="4">
        <v>2.75</v>
      </c>
      <c r="P38" s="2">
        <v>3.2114628651638402</v>
      </c>
      <c r="Q38" s="2">
        <v>3.96067146590608</v>
      </c>
      <c r="R38" s="2">
        <v>2.89419604815998</v>
      </c>
      <c r="S38" s="2">
        <v>3.0750311042435499</v>
      </c>
    </row>
    <row r="39" spans="2:19" x14ac:dyDescent="0.3">
      <c r="B39" s="6" t="s">
        <v>23</v>
      </c>
      <c r="C39" s="6">
        <v>292</v>
      </c>
      <c r="D39" s="6">
        <v>18.4793632599639</v>
      </c>
      <c r="E39" s="6">
        <v>-50.7716332826501</v>
      </c>
      <c r="F39" s="6">
        <f t="shared" si="4"/>
        <v>54.030043611694474</v>
      </c>
      <c r="G39" s="6">
        <v>450</v>
      </c>
      <c r="H39" s="6">
        <f t="shared" si="5"/>
        <v>54.030043611694474</v>
      </c>
      <c r="I39" s="6">
        <v>0</v>
      </c>
      <c r="J39" s="6">
        <v>0</v>
      </c>
      <c r="K39" s="6">
        <v>450</v>
      </c>
      <c r="L39" s="6">
        <v>30</v>
      </c>
      <c r="M39" s="7">
        <v>1</v>
      </c>
      <c r="N39" s="7">
        <v>2.2999999999999998</v>
      </c>
      <c r="O39" s="7">
        <v>1.9</v>
      </c>
      <c r="P39" s="6">
        <v>2.8194575083559399</v>
      </c>
      <c r="Q39" s="6">
        <v>3.2679501578132299</v>
      </c>
      <c r="R39" s="6">
        <v>2.0367234379685</v>
      </c>
      <c r="S39" s="6">
        <v>2.6595293122154402</v>
      </c>
    </row>
  </sheetData>
  <mergeCells count="3">
    <mergeCell ref="B2:S2"/>
    <mergeCell ref="B15:S15"/>
    <mergeCell ref="B28:S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Allouch</dc:creator>
  <cp:lastModifiedBy>Anas Allouch</cp:lastModifiedBy>
  <dcterms:created xsi:type="dcterms:W3CDTF">2015-06-05T18:17:20Z</dcterms:created>
  <dcterms:modified xsi:type="dcterms:W3CDTF">2025-12-13T11:58:24Z</dcterms:modified>
</cp:coreProperties>
</file>