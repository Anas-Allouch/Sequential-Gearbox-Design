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a\OneDrive\Desktop\Gearbox Project\Excel Files\Important\"/>
    </mc:Choice>
  </mc:AlternateContent>
  <xr:revisionPtr revIDLastSave="0" documentId="13_ncr:1_{2198B430-2162-4A0F-B3A5-8B0B3B288C4E}" xr6:coauthVersionLast="47" xr6:coauthVersionMax="47" xr10:uidLastSave="{00000000-0000-0000-0000-000000000000}"/>
  <bookViews>
    <workbookView xWindow="-108" yWindow="-108" windowWidth="23256" windowHeight="13176" xr2:uid="{0D766787-1273-4B5F-9EB2-645D161B8AA6}"/>
  </bookViews>
  <sheets>
    <sheet name="Sheet1" sheetId="1" r:id="rId1"/>
  </sheets>
  <definedNames>
    <definedName name="_xlnm._FilterDatabase" localSheetId="0" hidden="1">Sheet1!$W$25:$Z$58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1" i="1" l="1"/>
  <c r="F131" i="1"/>
  <c r="H131" i="1" s="1"/>
  <c r="K130" i="1"/>
  <c r="F130" i="1"/>
  <c r="H130" i="1" s="1"/>
  <c r="K129" i="1"/>
  <c r="F129" i="1"/>
  <c r="H129" i="1" s="1"/>
  <c r="K128" i="1"/>
  <c r="F128" i="1"/>
  <c r="H128" i="1" s="1"/>
  <c r="K127" i="1"/>
  <c r="F127" i="1"/>
  <c r="H127" i="1" s="1"/>
  <c r="K126" i="1"/>
  <c r="F126" i="1"/>
  <c r="H126" i="1" s="1"/>
  <c r="K125" i="1"/>
  <c r="F125" i="1"/>
  <c r="H125" i="1" s="1"/>
  <c r="K124" i="1"/>
  <c r="F124" i="1"/>
  <c r="H124" i="1" s="1"/>
  <c r="K123" i="1"/>
  <c r="F123" i="1"/>
  <c r="H123" i="1" s="1"/>
  <c r="K122" i="1"/>
  <c r="F122" i="1"/>
  <c r="H122" i="1" s="1"/>
  <c r="K121" i="1"/>
  <c r="F121" i="1"/>
  <c r="H121" i="1" s="1"/>
  <c r="K120" i="1"/>
  <c r="F120" i="1"/>
  <c r="H120" i="1" s="1"/>
  <c r="K119" i="1"/>
  <c r="F119" i="1"/>
  <c r="H119" i="1" s="1"/>
  <c r="K118" i="1"/>
  <c r="F118" i="1"/>
  <c r="H118" i="1" s="1"/>
  <c r="K117" i="1"/>
  <c r="F117" i="1"/>
  <c r="H117" i="1" s="1"/>
  <c r="K116" i="1"/>
  <c r="F116" i="1"/>
  <c r="H116" i="1" s="1"/>
  <c r="K115" i="1"/>
  <c r="F115" i="1"/>
  <c r="H115" i="1" s="1"/>
  <c r="K114" i="1"/>
  <c r="F114" i="1"/>
  <c r="H114" i="1" s="1"/>
  <c r="K109" i="1"/>
  <c r="F109" i="1"/>
  <c r="H109" i="1" s="1"/>
  <c r="K108" i="1"/>
  <c r="F108" i="1"/>
  <c r="H108" i="1" s="1"/>
  <c r="K107" i="1"/>
  <c r="F107" i="1"/>
  <c r="H107" i="1" s="1"/>
  <c r="K106" i="1"/>
  <c r="F106" i="1"/>
  <c r="H106" i="1" s="1"/>
  <c r="K105" i="1"/>
  <c r="F105" i="1"/>
  <c r="H105" i="1" s="1"/>
  <c r="K104" i="1"/>
  <c r="F104" i="1"/>
  <c r="H104" i="1" s="1"/>
  <c r="K103" i="1"/>
  <c r="F103" i="1"/>
  <c r="H103" i="1" s="1"/>
  <c r="K102" i="1"/>
  <c r="F102" i="1"/>
  <c r="H102" i="1" s="1"/>
  <c r="K101" i="1"/>
  <c r="F101" i="1"/>
  <c r="H101" i="1" s="1"/>
  <c r="K100" i="1"/>
  <c r="F100" i="1"/>
  <c r="H100" i="1" s="1"/>
  <c r="K99" i="1"/>
  <c r="F99" i="1"/>
  <c r="H99" i="1" s="1"/>
  <c r="K98" i="1"/>
  <c r="F98" i="1"/>
  <c r="H98" i="1" s="1"/>
  <c r="K97" i="1"/>
  <c r="F97" i="1"/>
  <c r="H97" i="1" s="1"/>
  <c r="K96" i="1"/>
  <c r="F96" i="1"/>
  <c r="H96" i="1" s="1"/>
  <c r="K95" i="1"/>
  <c r="F95" i="1"/>
  <c r="H95" i="1" s="1"/>
  <c r="K94" i="1"/>
  <c r="F94" i="1"/>
  <c r="H94" i="1" s="1"/>
  <c r="K93" i="1"/>
  <c r="F93" i="1"/>
  <c r="H93" i="1" s="1"/>
  <c r="K92" i="1"/>
  <c r="F92" i="1"/>
  <c r="H92" i="1" s="1"/>
  <c r="K87" i="1"/>
  <c r="F87" i="1"/>
  <c r="H87" i="1" s="1"/>
  <c r="K86" i="1"/>
  <c r="F86" i="1"/>
  <c r="H86" i="1" s="1"/>
  <c r="K85" i="1"/>
  <c r="F85" i="1"/>
  <c r="H85" i="1" s="1"/>
  <c r="K84" i="1"/>
  <c r="F84" i="1"/>
  <c r="H84" i="1" s="1"/>
  <c r="K83" i="1"/>
  <c r="F83" i="1"/>
  <c r="H83" i="1" s="1"/>
  <c r="K82" i="1"/>
  <c r="F82" i="1"/>
  <c r="H82" i="1" s="1"/>
  <c r="K81" i="1"/>
  <c r="F81" i="1"/>
  <c r="H81" i="1" s="1"/>
  <c r="K80" i="1"/>
  <c r="F80" i="1"/>
  <c r="H80" i="1" s="1"/>
  <c r="K79" i="1"/>
  <c r="F79" i="1"/>
  <c r="H79" i="1" s="1"/>
  <c r="K78" i="1"/>
  <c r="F78" i="1"/>
  <c r="H78" i="1" s="1"/>
  <c r="K77" i="1"/>
  <c r="F77" i="1"/>
  <c r="H77" i="1" s="1"/>
  <c r="K76" i="1"/>
  <c r="F76" i="1"/>
  <c r="H76" i="1" s="1"/>
  <c r="K75" i="1"/>
  <c r="F75" i="1"/>
  <c r="H75" i="1" s="1"/>
  <c r="K74" i="1"/>
  <c r="F74" i="1"/>
  <c r="H74" i="1" s="1"/>
  <c r="K73" i="1"/>
  <c r="F73" i="1"/>
  <c r="H73" i="1" s="1"/>
  <c r="K72" i="1"/>
  <c r="F72" i="1"/>
  <c r="H72" i="1" s="1"/>
  <c r="K71" i="1"/>
  <c r="F71" i="1"/>
  <c r="H71" i="1" s="1"/>
  <c r="K70" i="1"/>
  <c r="F70" i="1"/>
  <c r="H70" i="1" s="1"/>
  <c r="K65" i="1"/>
  <c r="F65" i="1"/>
  <c r="H65" i="1" s="1"/>
  <c r="K64" i="1"/>
  <c r="F64" i="1"/>
  <c r="H64" i="1" s="1"/>
  <c r="K63" i="1"/>
  <c r="F63" i="1"/>
  <c r="H63" i="1" s="1"/>
  <c r="K62" i="1"/>
  <c r="F62" i="1"/>
  <c r="H62" i="1" s="1"/>
  <c r="K61" i="1"/>
  <c r="F61" i="1"/>
  <c r="H61" i="1" s="1"/>
  <c r="K60" i="1"/>
  <c r="F60" i="1"/>
  <c r="H60" i="1" s="1"/>
  <c r="K59" i="1"/>
  <c r="F59" i="1"/>
  <c r="H59" i="1" s="1"/>
  <c r="K58" i="1"/>
  <c r="F58" i="1"/>
  <c r="H58" i="1" s="1"/>
  <c r="K57" i="1"/>
  <c r="F57" i="1"/>
  <c r="H57" i="1" s="1"/>
  <c r="K56" i="1"/>
  <c r="F56" i="1"/>
  <c r="H56" i="1" s="1"/>
  <c r="K55" i="1"/>
  <c r="F55" i="1"/>
  <c r="H55" i="1" s="1"/>
  <c r="K54" i="1"/>
  <c r="F54" i="1"/>
  <c r="H54" i="1" s="1"/>
  <c r="K53" i="1"/>
  <c r="F53" i="1"/>
  <c r="H53" i="1" s="1"/>
  <c r="K52" i="1"/>
  <c r="F52" i="1"/>
  <c r="H52" i="1" s="1"/>
  <c r="K51" i="1"/>
  <c r="F51" i="1"/>
  <c r="H51" i="1" s="1"/>
  <c r="K50" i="1"/>
  <c r="F50" i="1"/>
  <c r="H50" i="1" s="1"/>
  <c r="K49" i="1"/>
  <c r="F49" i="1"/>
  <c r="H49" i="1" s="1"/>
  <c r="K48" i="1"/>
  <c r="F48" i="1"/>
  <c r="H48" i="1" s="1"/>
  <c r="K43" i="1" l="1"/>
  <c r="F43" i="1"/>
  <c r="H43" i="1" s="1"/>
  <c r="K42" i="1"/>
  <c r="F42" i="1"/>
  <c r="H42" i="1" s="1"/>
  <c r="K41" i="1"/>
  <c r="F41" i="1"/>
  <c r="H41" i="1" s="1"/>
  <c r="K40" i="1"/>
  <c r="F40" i="1"/>
  <c r="H40" i="1" s="1"/>
  <c r="K39" i="1"/>
  <c r="F39" i="1"/>
  <c r="H39" i="1" s="1"/>
  <c r="K38" i="1"/>
  <c r="F38" i="1"/>
  <c r="H38" i="1" s="1"/>
  <c r="K37" i="1"/>
  <c r="F37" i="1"/>
  <c r="H37" i="1" s="1"/>
  <c r="K36" i="1"/>
  <c r="F36" i="1"/>
  <c r="H36" i="1" s="1"/>
  <c r="K35" i="1"/>
  <c r="F35" i="1"/>
  <c r="H35" i="1" s="1"/>
  <c r="K34" i="1"/>
  <c r="F34" i="1"/>
  <c r="H34" i="1" s="1"/>
  <c r="K33" i="1"/>
  <c r="F33" i="1"/>
  <c r="H33" i="1" s="1"/>
  <c r="K32" i="1"/>
  <c r="F32" i="1"/>
  <c r="H32" i="1" s="1"/>
  <c r="K31" i="1"/>
  <c r="F31" i="1"/>
  <c r="H31" i="1" s="1"/>
  <c r="K30" i="1"/>
  <c r="F30" i="1"/>
  <c r="H30" i="1" s="1"/>
  <c r="K29" i="1"/>
  <c r="F29" i="1"/>
  <c r="H29" i="1" s="1"/>
  <c r="K28" i="1"/>
  <c r="F28" i="1"/>
  <c r="H28" i="1" s="1"/>
  <c r="K27" i="1"/>
  <c r="F27" i="1"/>
  <c r="H27" i="1" s="1"/>
  <c r="K26" i="1"/>
  <c r="F26" i="1"/>
  <c r="H26" i="1" s="1"/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H13" i="1"/>
  <c r="H5" i="1"/>
  <c r="H6" i="1"/>
  <c r="H7" i="1"/>
  <c r="H9" i="1"/>
  <c r="F13" i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8" i="1"/>
  <c r="H8" i="1" s="1"/>
  <c r="F10" i="1"/>
  <c r="H10" i="1" s="1"/>
  <c r="F4" i="1"/>
  <c r="H4" i="1" s="1"/>
  <c r="F5" i="1"/>
  <c r="F6" i="1"/>
  <c r="F7" i="1"/>
  <c r="F9" i="1"/>
  <c r="F11" i="1"/>
  <c r="H11" i="1" s="1"/>
  <c r="F12" i="1"/>
  <c r="H12" i="1" s="1"/>
  <c r="K4" i="1"/>
</calcChain>
</file>

<file path=xl/sharedStrings.xml><?xml version="1.0" encoding="utf-8"?>
<sst xmlns="http://schemas.openxmlformats.org/spreadsheetml/2006/main" count="223" uniqueCount="40">
  <si>
    <t>feature</t>
  </si>
  <si>
    <t>shoulder bearing A</t>
  </si>
  <si>
    <t>groove</t>
  </si>
  <si>
    <t>keyseat reverse gear</t>
  </si>
  <si>
    <t>keyseat gear 1</t>
  </si>
  <si>
    <t>keyseat gear 2</t>
  </si>
  <si>
    <t>shoulder after reverse</t>
  </si>
  <si>
    <t>shoulder after gear 2</t>
  </si>
  <si>
    <t>keyseat gear 3</t>
  </si>
  <si>
    <t>keyseat gear 4</t>
  </si>
  <si>
    <t>keyseat gear 5</t>
  </si>
  <si>
    <t>kt</t>
  </si>
  <si>
    <t>kts</t>
  </si>
  <si>
    <t>location
[mm]</t>
  </si>
  <si>
    <t>Mxy
[Nm]</t>
  </si>
  <si>
    <t>Mxz
[Nm]</t>
  </si>
  <si>
    <t>Mmax
[Nm]</t>
  </si>
  <si>
    <t>Tmax
[Nm]</t>
  </si>
  <si>
    <t>Ma
[Nm]</t>
  </si>
  <si>
    <t>Mm
[Nm]</t>
  </si>
  <si>
    <t>Ta
[Nm]</t>
  </si>
  <si>
    <t>Tm
[Nm]</t>
  </si>
  <si>
    <t>notch radius
[mm]</t>
  </si>
  <si>
    <t>shaft diameter
[mm]</t>
  </si>
  <si>
    <t>shoulder after gear 1</t>
  </si>
  <si>
    <t>shoulder before gear 3</t>
  </si>
  <si>
    <t>shoulder after gear 3</t>
  </si>
  <si>
    <t>shoulder before gear 5</t>
  </si>
  <si>
    <t>shoulder bearing B</t>
  </si>
  <si>
    <t>Input Shaft Reverse Gear</t>
  </si>
  <si>
    <t>Input Shaft Gear 1</t>
  </si>
  <si>
    <t>Input Shaft Gear 2</t>
  </si>
  <si>
    <t>Input Shaft Gear 3</t>
  </si>
  <si>
    <t>Input Shaft Gear 4</t>
  </si>
  <si>
    <t>Input Shaft Gear 5</t>
  </si>
  <si>
    <t>SF_Goodman</t>
  </si>
  <si>
    <t>SF_Gerber</t>
  </si>
  <si>
    <t>SF_ASMEelliptic</t>
  </si>
  <si>
    <t>SF_Soderberg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</si>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</sst>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6E96-3F34-43BB-9305-6A0CEAC04AAF}">
  <dimension ref="B2:U131"/>
  <sheetViews>
    <sheetView tabSelected="1" topLeftCell="A105" zoomScale="86" zoomScaleNormal="115" workbookViewId="0">
      <selection activeCell="P123" sqref="P123"/>
    </sheetView>
  </sheetViews>
  <sheetFormatPr defaultRowHeight="14.4" x14ac:dyDescent="0.3"/>
  <cols>
    <col min="1" max="1" width="8.88671875" style="6"/>
    <col min="2" max="2" width="20.109375" style="6" bestFit="1" customWidth="1"/>
    <col min="3" max="3" width="7.88671875" style="6" bestFit="1" customWidth="1"/>
    <col min="4" max="5" width="9" style="6" bestFit="1" customWidth="1"/>
    <col min="6" max="6" width="12" style="6" bestFit="1" customWidth="1"/>
    <col min="7" max="7" width="8.5546875" style="6" customWidth="1"/>
    <col min="8" max="11" width="8.88671875" style="6"/>
    <col min="12" max="12" width="12.5546875" style="6" bestFit="1" customWidth="1"/>
    <col min="13" max="13" width="11.5546875" style="6" bestFit="1" customWidth="1"/>
    <col min="14" max="15" width="8.88671875" style="6"/>
    <col min="16" max="17" width="12.33203125" style="6" bestFit="1" customWidth="1"/>
    <col min="18" max="18" width="14.6640625" style="6" bestFit="1" customWidth="1"/>
    <col min="19" max="19" width="12.6640625" style="6" bestFit="1" customWidth="1"/>
    <col min="20" max="21" width="8.88671875" style="6"/>
    <col min="22" max="22" width="35.44140625" style="6" bestFit="1" customWidth="1"/>
    <col min="23" max="16384" width="8.88671875" style="6"/>
  </cols>
  <sheetData>
    <row r="2" spans="2:21" x14ac:dyDescent="0.3">
      <c r="B2" s="7" t="s">
        <v>29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2:21" ht="28.8" x14ac:dyDescent="0.3">
      <c r="B3" s="1" t="s">
        <v>0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23</v>
      </c>
      <c r="M3" s="2" t="s">
        <v>22</v>
      </c>
      <c r="N3" s="1" t="s">
        <v>11</v>
      </c>
      <c r="O3" s="1" t="s">
        <v>12</v>
      </c>
      <c r="P3" s="1" t="s">
        <v>35</v>
      </c>
      <c r="Q3" s="1" t="s">
        <v>36</v>
      </c>
      <c r="R3" s="1" t="s">
        <v>37</v>
      </c>
      <c r="S3" s="1" t="s">
        <v>38</v>
      </c>
    </row>
    <row r="4" spans="2:21" x14ac:dyDescent="0.3">
      <c r="B4" s="1" t="s">
        <v>1</v>
      </c>
      <c r="C4" s="1">
        <v>11.45</v>
      </c>
      <c r="D4" s="1">
        <v>130.0033</v>
      </c>
      <c r="E4" s="1">
        <v>-47.317399999999999</v>
      </c>
      <c r="F4" s="1">
        <f>SQRT(D4^2+E4^2)</f>
        <v>138.34664561762963</v>
      </c>
      <c r="G4" s="1">
        <v>450</v>
      </c>
      <c r="H4" s="1">
        <f>F4</f>
        <v>138.34664561762963</v>
      </c>
      <c r="I4" s="1">
        <v>0</v>
      </c>
      <c r="J4" s="1">
        <v>0</v>
      </c>
      <c r="K4" s="1">
        <f>G4</f>
        <v>450</v>
      </c>
      <c r="L4" s="1">
        <v>40</v>
      </c>
      <c r="M4" s="4">
        <v>1</v>
      </c>
      <c r="N4" s="4">
        <v>2.4300000000000002</v>
      </c>
      <c r="O4" s="4">
        <v>2</v>
      </c>
      <c r="P4" s="1">
        <v>4.4804000000000004</v>
      </c>
      <c r="Q4" s="1">
        <v>5.5963000000000003</v>
      </c>
      <c r="R4" s="1">
        <v>4.4410999999999996</v>
      </c>
      <c r="S4" s="1">
        <v>4.3208000000000002</v>
      </c>
    </row>
    <row r="5" spans="2:21" x14ac:dyDescent="0.3">
      <c r="B5" s="1" t="s">
        <v>2</v>
      </c>
      <c r="C5" s="1">
        <v>19.73</v>
      </c>
      <c r="D5" s="1">
        <v>224.01439999999999</v>
      </c>
      <c r="E5" s="1">
        <v>-81.534599999999998</v>
      </c>
      <c r="F5" s="1">
        <f t="shared" ref="F5:F8" si="0">SQRT(D5^2+E5^2)</f>
        <v>238.39115420778515</v>
      </c>
      <c r="G5" s="1">
        <v>450</v>
      </c>
      <c r="H5" s="1">
        <f t="shared" ref="H5:H21" si="1">F5</f>
        <v>238.39115420778515</v>
      </c>
      <c r="I5" s="1">
        <v>0</v>
      </c>
      <c r="J5" s="1">
        <v>0</v>
      </c>
      <c r="K5" s="1">
        <f t="shared" ref="K5:K21" si="2">G5</f>
        <v>450</v>
      </c>
      <c r="L5" s="1">
        <v>47</v>
      </c>
      <c r="M5" s="4">
        <v>0.15</v>
      </c>
      <c r="N5" s="4">
        <v>5.4</v>
      </c>
      <c r="O5" s="4">
        <v>3.15</v>
      </c>
      <c r="P5" s="1">
        <v>2.879</v>
      </c>
      <c r="Q5" s="1">
        <v>3.4693000000000001</v>
      </c>
      <c r="R5" s="1">
        <v>3.2256</v>
      </c>
      <c r="S5" s="1">
        <v>2.8203999999999998</v>
      </c>
    </row>
    <row r="6" spans="2:21" x14ac:dyDescent="0.3">
      <c r="B6" s="1" t="s">
        <v>3</v>
      </c>
      <c r="C6" s="1">
        <v>38.229999999999997</v>
      </c>
      <c r="D6" s="1">
        <v>434.0634</v>
      </c>
      <c r="E6" s="1">
        <v>-157.9862</v>
      </c>
      <c r="F6" s="1">
        <f t="shared" si="0"/>
        <v>461.92063670072156</v>
      </c>
      <c r="G6" s="1">
        <v>450</v>
      </c>
      <c r="H6" s="1">
        <f t="shared" si="1"/>
        <v>461.92063670072156</v>
      </c>
      <c r="I6" s="1">
        <v>0</v>
      </c>
      <c r="J6" s="1">
        <v>0</v>
      </c>
      <c r="K6" s="1">
        <f t="shared" si="2"/>
        <v>450</v>
      </c>
      <c r="L6" s="1">
        <v>50</v>
      </c>
      <c r="M6" s="4">
        <v>0.9</v>
      </c>
      <c r="N6" s="4">
        <v>2.25</v>
      </c>
      <c r="O6" s="4">
        <v>3.15</v>
      </c>
      <c r="P6" s="1">
        <v>3.5310000000000001</v>
      </c>
      <c r="Q6" s="1">
        <v>4.3019999999999996</v>
      </c>
      <c r="R6" s="1">
        <v>3.9298000000000002</v>
      </c>
      <c r="S6" s="1">
        <v>3.4516</v>
      </c>
    </row>
    <row r="7" spans="2:21" x14ac:dyDescent="0.3">
      <c r="B7" s="1" t="s">
        <v>6</v>
      </c>
      <c r="C7" s="1">
        <v>55.65</v>
      </c>
      <c r="D7" s="1">
        <v>407.87939999999998</v>
      </c>
      <c r="E7" s="1">
        <v>-148.45580000000001</v>
      </c>
      <c r="F7" s="1">
        <f t="shared" si="0"/>
        <v>434.05613634413692</v>
      </c>
      <c r="G7" s="1">
        <v>450</v>
      </c>
      <c r="H7" s="1">
        <f t="shared" si="1"/>
        <v>434.05613634413692</v>
      </c>
      <c r="I7" s="1">
        <v>0</v>
      </c>
      <c r="J7" s="1">
        <v>0</v>
      </c>
      <c r="K7" s="1">
        <f t="shared" si="2"/>
        <v>450</v>
      </c>
      <c r="L7" s="1">
        <v>50</v>
      </c>
      <c r="M7" s="4">
        <v>1.5</v>
      </c>
      <c r="N7" s="4">
        <v>2.15</v>
      </c>
      <c r="O7" s="4">
        <v>1.5</v>
      </c>
      <c r="P7" s="1">
        <v>4.4005000000000001</v>
      </c>
      <c r="Q7" s="1">
        <v>5.0736999999999997</v>
      </c>
      <c r="R7" s="1">
        <v>4.9151999999999996</v>
      </c>
      <c r="S7" s="1">
        <v>4.3388</v>
      </c>
    </row>
    <row r="8" spans="2:21" x14ac:dyDescent="0.3">
      <c r="B8" s="1" t="s">
        <v>2</v>
      </c>
      <c r="C8" s="1">
        <v>78.58</v>
      </c>
      <c r="D8" s="1">
        <v>373.41329999999999</v>
      </c>
      <c r="E8" s="1">
        <v>-135.91079999999999</v>
      </c>
      <c r="F8" s="1">
        <f t="shared" si="0"/>
        <v>397.37795380912866</v>
      </c>
      <c r="G8" s="1">
        <v>450</v>
      </c>
      <c r="H8" s="1">
        <f t="shared" si="1"/>
        <v>397.37795380912866</v>
      </c>
      <c r="I8" s="1">
        <v>0</v>
      </c>
      <c r="J8" s="1">
        <v>0</v>
      </c>
      <c r="K8" s="1">
        <f t="shared" si="2"/>
        <v>450</v>
      </c>
      <c r="L8" s="1">
        <v>52</v>
      </c>
      <c r="M8" s="4">
        <v>0.18</v>
      </c>
      <c r="N8" s="4">
        <v>5.0999999999999996</v>
      </c>
      <c r="O8" s="4">
        <v>3</v>
      </c>
      <c r="P8" s="1">
        <v>2.6583000000000001</v>
      </c>
      <c r="Q8" s="1">
        <v>3.052</v>
      </c>
      <c r="R8" s="1">
        <v>2.9641000000000002</v>
      </c>
      <c r="S8" s="1">
        <v>2.6223999999999998</v>
      </c>
    </row>
    <row r="9" spans="2:21" x14ac:dyDescent="0.3">
      <c r="B9" s="1" t="s">
        <v>4</v>
      </c>
      <c r="C9" s="1">
        <v>97.08</v>
      </c>
      <c r="D9" s="1">
        <v>345.60599999999999</v>
      </c>
      <c r="E9" s="1">
        <v>-125.7894</v>
      </c>
      <c r="F9" s="1">
        <f>SQRT(D9^2+E9^2)</f>
        <v>367.78591651714993</v>
      </c>
      <c r="G9" s="1">
        <v>450</v>
      </c>
      <c r="H9" s="1">
        <f t="shared" si="1"/>
        <v>367.78591651714993</v>
      </c>
      <c r="I9" s="1">
        <v>0</v>
      </c>
      <c r="J9" s="1">
        <v>0</v>
      </c>
      <c r="K9" s="1">
        <f t="shared" si="2"/>
        <v>450</v>
      </c>
      <c r="L9" s="1">
        <v>55</v>
      </c>
      <c r="M9" s="4">
        <v>0.9</v>
      </c>
      <c r="N9" s="4">
        <v>2.35</v>
      </c>
      <c r="O9" s="4">
        <v>3.2</v>
      </c>
      <c r="P9" s="1">
        <v>5.298</v>
      </c>
      <c r="Q9" s="1">
        <v>6.5376000000000003</v>
      </c>
      <c r="R9" s="1">
        <v>5.7973999999999997</v>
      </c>
      <c r="S9" s="1">
        <v>5.1620999999999997</v>
      </c>
    </row>
    <row r="10" spans="2:21" x14ac:dyDescent="0.3">
      <c r="B10" s="1" t="s">
        <v>24</v>
      </c>
      <c r="C10" s="1">
        <v>116.5</v>
      </c>
      <c r="D10" s="1">
        <v>316.41579999999999</v>
      </c>
      <c r="E10" s="1">
        <v>-115.1647</v>
      </c>
      <c r="F10" s="1">
        <f>SQRT(D10^2+E10^2)</f>
        <v>336.72223956212036</v>
      </c>
      <c r="G10" s="1">
        <v>450</v>
      </c>
      <c r="H10" s="1">
        <f t="shared" si="1"/>
        <v>336.72223956212036</v>
      </c>
      <c r="I10" s="1">
        <v>0</v>
      </c>
      <c r="J10" s="1">
        <v>0</v>
      </c>
      <c r="K10" s="1">
        <f t="shared" si="2"/>
        <v>450</v>
      </c>
      <c r="L10" s="1">
        <v>55</v>
      </c>
      <c r="M10" s="4">
        <v>1.5</v>
      </c>
      <c r="N10" s="4">
        <v>2.1</v>
      </c>
      <c r="O10" s="4">
        <v>1.45</v>
      </c>
      <c r="P10" s="1">
        <v>7.3075000000000001</v>
      </c>
      <c r="Q10" s="1">
        <v>8.6128999999999998</v>
      </c>
      <c r="R10" s="1">
        <v>8.2083999999999993</v>
      </c>
      <c r="S10" s="1">
        <v>7.1840000000000002</v>
      </c>
    </row>
    <row r="11" spans="2:21" x14ac:dyDescent="0.3">
      <c r="B11" s="1" t="s">
        <v>5</v>
      </c>
      <c r="C11" s="1">
        <v>134</v>
      </c>
      <c r="D11" s="1">
        <v>290.11149999999998</v>
      </c>
      <c r="E11" s="1">
        <v>-105.59050000000001</v>
      </c>
      <c r="F11" s="1">
        <f>SQRT(D11^2+E11^2)</f>
        <v>308.72971370196939</v>
      </c>
      <c r="G11" s="1">
        <v>450</v>
      </c>
      <c r="H11" s="1">
        <f t="shared" si="1"/>
        <v>308.72971370196939</v>
      </c>
      <c r="I11" s="1">
        <v>0</v>
      </c>
      <c r="J11" s="1">
        <v>0</v>
      </c>
      <c r="K11" s="1">
        <f t="shared" si="2"/>
        <v>450</v>
      </c>
      <c r="L11" s="1">
        <v>60</v>
      </c>
      <c r="M11" s="4">
        <v>0.9</v>
      </c>
      <c r="N11" s="4">
        <v>2.4</v>
      </c>
      <c r="O11" s="4">
        <v>3.27</v>
      </c>
      <c r="P11" s="8">
        <v>7.5217304660490596</v>
      </c>
      <c r="Q11" s="8">
        <v>9.3544169167652402</v>
      </c>
      <c r="R11" s="8">
        <v>8.0490072154475598</v>
      </c>
      <c r="S11" s="8">
        <v>7.3069826667909998</v>
      </c>
    </row>
    <row r="12" spans="2:21" x14ac:dyDescent="0.3">
      <c r="B12" s="1" t="s">
        <v>7</v>
      </c>
      <c r="C12" s="1">
        <v>151.5</v>
      </c>
      <c r="D12" s="1">
        <v>263.8073</v>
      </c>
      <c r="E12" s="1">
        <v>-96.016199999999998</v>
      </c>
      <c r="F12" s="1">
        <f>SQRT(D12^2+E12^2)</f>
        <v>280.73724761016302</v>
      </c>
      <c r="G12" s="1">
        <v>450</v>
      </c>
      <c r="H12" s="1">
        <f t="shared" si="1"/>
        <v>280.73724761016302</v>
      </c>
      <c r="I12" s="1">
        <v>0</v>
      </c>
      <c r="J12" s="1">
        <v>0</v>
      </c>
      <c r="K12" s="1">
        <f t="shared" si="2"/>
        <v>450</v>
      </c>
      <c r="L12" s="1">
        <v>60</v>
      </c>
      <c r="M12" s="4">
        <v>1.5</v>
      </c>
      <c r="N12" s="4">
        <v>2.08</v>
      </c>
      <c r="O12" s="4">
        <v>1.42</v>
      </c>
      <c r="P12" s="1">
        <v>10.9582</v>
      </c>
      <c r="Q12" s="1">
        <v>13.1058</v>
      </c>
      <c r="R12" s="1">
        <v>12.303900000000001</v>
      </c>
      <c r="S12" s="1">
        <v>10.749000000000001</v>
      </c>
    </row>
    <row r="13" spans="2:21" x14ac:dyDescent="0.3">
      <c r="B13" s="1" t="s">
        <v>25</v>
      </c>
      <c r="C13" s="1">
        <v>175.5</v>
      </c>
      <c r="D13" s="1">
        <v>227.7329</v>
      </c>
      <c r="E13" s="1">
        <v>-82.885800000000003</v>
      </c>
      <c r="F13" s="1">
        <f t="shared" ref="F13:F21" si="3">SQRT(D13^2+E13^2)</f>
        <v>242.34753884463115</v>
      </c>
      <c r="G13" s="1">
        <v>450</v>
      </c>
      <c r="H13" s="1">
        <f>F13</f>
        <v>242.34753884463115</v>
      </c>
      <c r="I13" s="1">
        <v>0</v>
      </c>
      <c r="J13" s="1">
        <v>0</v>
      </c>
      <c r="K13" s="1">
        <f t="shared" si="2"/>
        <v>450</v>
      </c>
      <c r="L13" s="1">
        <v>60</v>
      </c>
      <c r="M13" s="4">
        <v>1.5</v>
      </c>
      <c r="N13" s="4">
        <v>2.08</v>
      </c>
      <c r="O13" s="4">
        <v>1.42</v>
      </c>
      <c r="P13" s="1">
        <v>12.259499999999999</v>
      </c>
      <c r="Q13" s="1">
        <v>14.849500000000001</v>
      </c>
      <c r="R13" s="1">
        <v>13.7012</v>
      </c>
      <c r="S13" s="1">
        <v>11.9984</v>
      </c>
      <c r="U13" s="6" t="s">
        <v>39</v>
      </c>
    </row>
    <row r="14" spans="2:21" x14ac:dyDescent="0.3">
      <c r="B14" s="1" t="s">
        <v>8</v>
      </c>
      <c r="C14" s="1">
        <v>193</v>
      </c>
      <c r="D14" s="1">
        <v>201.42859999999999</v>
      </c>
      <c r="E14" s="1">
        <v>-73.311599999999999</v>
      </c>
      <c r="F14" s="1">
        <f t="shared" si="3"/>
        <v>214.35501298668058</v>
      </c>
      <c r="G14" s="1">
        <v>450</v>
      </c>
      <c r="H14" s="1">
        <f t="shared" si="1"/>
        <v>214.35501298668058</v>
      </c>
      <c r="I14" s="1">
        <v>0</v>
      </c>
      <c r="J14" s="1">
        <v>0</v>
      </c>
      <c r="K14" s="1">
        <f t="shared" si="2"/>
        <v>450</v>
      </c>
      <c r="L14" s="1">
        <v>60</v>
      </c>
      <c r="M14" s="4">
        <v>0.9</v>
      </c>
      <c r="N14" s="4">
        <v>2.4</v>
      </c>
      <c r="O14" s="4">
        <v>3.27</v>
      </c>
      <c r="P14" s="1">
        <v>9.4300999999999995</v>
      </c>
      <c r="Q14" s="1">
        <v>11.7796</v>
      </c>
      <c r="R14" s="1">
        <v>9.3564000000000007</v>
      </c>
      <c r="S14" s="1">
        <v>9.0950000000000006</v>
      </c>
    </row>
    <row r="15" spans="2:21" x14ac:dyDescent="0.3">
      <c r="B15" s="1" t="s">
        <v>26</v>
      </c>
      <c r="C15" s="1">
        <v>210.5</v>
      </c>
      <c r="D15" s="1">
        <v>175.12440000000001</v>
      </c>
      <c r="E15" s="1">
        <v>-63.737299999999998</v>
      </c>
      <c r="F15" s="1">
        <f t="shared" si="3"/>
        <v>186.36254689891422</v>
      </c>
      <c r="G15" s="1">
        <v>450</v>
      </c>
      <c r="H15" s="1">
        <f t="shared" si="1"/>
        <v>186.36254689891422</v>
      </c>
      <c r="I15" s="1">
        <v>0</v>
      </c>
      <c r="J15" s="1">
        <v>0</v>
      </c>
      <c r="K15" s="1">
        <f t="shared" si="2"/>
        <v>450</v>
      </c>
      <c r="L15" s="1">
        <v>55</v>
      </c>
      <c r="M15" s="4">
        <v>1.5</v>
      </c>
      <c r="N15" s="4">
        <v>2.1</v>
      </c>
      <c r="O15" s="4">
        <v>1.45</v>
      </c>
      <c r="P15" s="1">
        <v>11.388</v>
      </c>
      <c r="Q15" s="1">
        <v>14.0722</v>
      </c>
      <c r="R15" s="1">
        <v>12.4252</v>
      </c>
      <c r="S15" s="1">
        <v>11.090999999999999</v>
      </c>
    </row>
    <row r="16" spans="2:21" x14ac:dyDescent="0.3">
      <c r="B16" s="1" t="s">
        <v>9</v>
      </c>
      <c r="C16" s="1">
        <v>229.93</v>
      </c>
      <c r="D16" s="1">
        <v>145.91909999999999</v>
      </c>
      <c r="E16" s="1">
        <v>-53.107199999999999</v>
      </c>
      <c r="F16" s="1">
        <f t="shared" si="3"/>
        <v>155.28283368308936</v>
      </c>
      <c r="G16" s="1">
        <v>450</v>
      </c>
      <c r="H16" s="1">
        <f t="shared" si="1"/>
        <v>155.28283368308936</v>
      </c>
      <c r="I16" s="1">
        <v>0</v>
      </c>
      <c r="J16" s="1">
        <v>0</v>
      </c>
      <c r="K16" s="1">
        <f t="shared" si="2"/>
        <v>450</v>
      </c>
      <c r="L16" s="1">
        <v>55</v>
      </c>
      <c r="M16" s="4">
        <v>0.9</v>
      </c>
      <c r="N16" s="4">
        <v>2.35</v>
      </c>
      <c r="O16" s="4">
        <v>3.2</v>
      </c>
      <c r="P16" s="1">
        <v>8.8732000000000006</v>
      </c>
      <c r="Q16" s="1">
        <v>10.951499999999999</v>
      </c>
      <c r="R16" s="1">
        <v>8.0281000000000002</v>
      </c>
      <c r="S16" s="1">
        <v>8.4985999999999997</v>
      </c>
    </row>
    <row r="17" spans="2:19" x14ac:dyDescent="0.3">
      <c r="B17" s="1" t="s">
        <v>2</v>
      </c>
      <c r="C17" s="1">
        <v>248.43</v>
      </c>
      <c r="D17" s="1">
        <v>118.1118</v>
      </c>
      <c r="E17" s="1">
        <v>-42.985799999999998</v>
      </c>
      <c r="F17" s="1">
        <f t="shared" si="3"/>
        <v>125.6907964048283</v>
      </c>
      <c r="G17" s="1">
        <v>450</v>
      </c>
      <c r="H17" s="1">
        <f t="shared" si="1"/>
        <v>125.6907964048283</v>
      </c>
      <c r="I17" s="1">
        <v>0</v>
      </c>
      <c r="J17" s="1">
        <v>0</v>
      </c>
      <c r="K17" s="1">
        <f t="shared" si="2"/>
        <v>450</v>
      </c>
      <c r="L17" s="1">
        <v>52</v>
      </c>
      <c r="M17" s="4">
        <v>0.18</v>
      </c>
      <c r="N17" s="4">
        <v>5.0999999999999996</v>
      </c>
      <c r="O17" s="4">
        <v>3</v>
      </c>
      <c r="P17" s="1">
        <v>6.2701000000000002</v>
      </c>
      <c r="Q17" s="1">
        <v>7.8293999999999997</v>
      </c>
      <c r="R17" s="1">
        <v>6.5354000000000001</v>
      </c>
      <c r="S17" s="1">
        <v>6.0739000000000001</v>
      </c>
    </row>
    <row r="18" spans="2:19" x14ac:dyDescent="0.3">
      <c r="B18" s="1" t="s">
        <v>27</v>
      </c>
      <c r="C18" s="1">
        <v>271.35000000000002</v>
      </c>
      <c r="D18" s="1">
        <v>83.660700000000006</v>
      </c>
      <c r="E18" s="1">
        <v>-30.446300000000001</v>
      </c>
      <c r="F18" s="1">
        <f t="shared" si="3"/>
        <v>89.028590397579592</v>
      </c>
      <c r="G18" s="1">
        <v>450</v>
      </c>
      <c r="H18" s="1">
        <f t="shared" si="1"/>
        <v>89.028590397579592</v>
      </c>
      <c r="I18" s="1">
        <v>0</v>
      </c>
      <c r="J18" s="1">
        <v>0</v>
      </c>
      <c r="K18" s="1">
        <f t="shared" si="2"/>
        <v>450</v>
      </c>
      <c r="L18" s="1">
        <v>50</v>
      </c>
      <c r="M18" s="4">
        <v>1.5</v>
      </c>
      <c r="N18" s="4">
        <v>2.15</v>
      </c>
      <c r="O18" s="4">
        <v>1.5</v>
      </c>
      <c r="P18" s="1">
        <v>13.132</v>
      </c>
      <c r="Q18" s="1">
        <v>16.2712</v>
      </c>
      <c r="R18" s="1">
        <v>12.1455</v>
      </c>
      <c r="S18" s="1">
        <v>12.5975</v>
      </c>
    </row>
    <row r="19" spans="2:19" x14ac:dyDescent="0.3">
      <c r="B19" s="1" t="s">
        <v>10</v>
      </c>
      <c r="C19" s="1">
        <v>288.77999999999997</v>
      </c>
      <c r="D19" s="1">
        <v>57.4617</v>
      </c>
      <c r="E19" s="1">
        <v>-20.910299999999999</v>
      </c>
      <c r="F19" s="1">
        <f t="shared" si="3"/>
        <v>61.148079389135361</v>
      </c>
      <c r="G19" s="1">
        <v>450</v>
      </c>
      <c r="H19" s="1">
        <f t="shared" si="1"/>
        <v>61.148079389135361</v>
      </c>
      <c r="I19" s="1">
        <v>0</v>
      </c>
      <c r="J19" s="1">
        <v>0</v>
      </c>
      <c r="K19" s="1">
        <f t="shared" si="2"/>
        <v>450</v>
      </c>
      <c r="L19" s="1">
        <v>50</v>
      </c>
      <c r="M19" s="4">
        <v>0.9</v>
      </c>
      <c r="N19" s="4">
        <v>2.25</v>
      </c>
      <c r="O19" s="4">
        <v>3.2</v>
      </c>
      <c r="P19" s="1">
        <v>9.6514000000000006</v>
      </c>
      <c r="Q19" s="1">
        <v>10.981400000000001</v>
      </c>
      <c r="R19" s="1">
        <v>6.6261000000000001</v>
      </c>
      <c r="S19" s="1">
        <v>9.0724999999999998</v>
      </c>
    </row>
    <row r="20" spans="2:19" x14ac:dyDescent="0.3">
      <c r="B20" s="1" t="s">
        <v>2</v>
      </c>
      <c r="C20" s="1">
        <v>307.27999999999997</v>
      </c>
      <c r="D20" s="1">
        <v>29.654399999999999</v>
      </c>
      <c r="E20" s="1">
        <v>-10.789</v>
      </c>
      <c r="F20" s="1">
        <f t="shared" si="3"/>
        <v>31.556076441154719</v>
      </c>
      <c r="G20" s="1">
        <v>450</v>
      </c>
      <c r="H20" s="1">
        <f t="shared" si="1"/>
        <v>31.556076441154719</v>
      </c>
      <c r="I20" s="1">
        <v>0</v>
      </c>
      <c r="J20" s="1">
        <v>0</v>
      </c>
      <c r="K20" s="1">
        <f t="shared" si="2"/>
        <v>450</v>
      </c>
      <c r="L20" s="1">
        <v>47</v>
      </c>
      <c r="M20" s="4">
        <v>0.15</v>
      </c>
      <c r="N20" s="4">
        <v>5.4</v>
      </c>
      <c r="O20" s="4">
        <v>3.15</v>
      </c>
      <c r="P20" s="1">
        <v>8.4749999999999996</v>
      </c>
      <c r="Q20" s="1">
        <v>9.7729999999999997</v>
      </c>
      <c r="R20" s="1">
        <v>6.0345000000000004</v>
      </c>
      <c r="S20" s="1">
        <v>7.9863999999999997</v>
      </c>
    </row>
    <row r="21" spans="2:19" x14ac:dyDescent="0.3">
      <c r="B21" s="3" t="s">
        <v>28</v>
      </c>
      <c r="C21" s="3">
        <v>315.55</v>
      </c>
      <c r="D21" s="3">
        <v>17.223700000000001</v>
      </c>
      <c r="E21" s="3">
        <v>-6.2645</v>
      </c>
      <c r="F21" s="3">
        <f t="shared" si="3"/>
        <v>18.327569449875234</v>
      </c>
      <c r="G21" s="3">
        <v>450</v>
      </c>
      <c r="H21" s="3">
        <f t="shared" si="1"/>
        <v>18.327569449875234</v>
      </c>
      <c r="I21" s="3">
        <v>0</v>
      </c>
      <c r="J21" s="3">
        <v>0</v>
      </c>
      <c r="K21" s="3">
        <f t="shared" si="2"/>
        <v>450</v>
      </c>
      <c r="L21" s="3">
        <v>40</v>
      </c>
      <c r="M21" s="5">
        <v>1</v>
      </c>
      <c r="N21" s="5">
        <v>2.4300000000000002</v>
      </c>
      <c r="O21" s="5">
        <v>2</v>
      </c>
      <c r="P21" s="3">
        <v>8.9448000000000008</v>
      </c>
      <c r="Q21" s="3">
        <v>9.6457999999999995</v>
      </c>
      <c r="R21" s="3">
        <v>5.3836000000000004</v>
      </c>
      <c r="S21" s="3">
        <v>8.3306000000000004</v>
      </c>
    </row>
    <row r="24" spans="2:19" x14ac:dyDescent="0.3">
      <c r="B24" s="7" t="s">
        <v>30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2:19" ht="28.8" x14ac:dyDescent="0.3">
      <c r="B25" s="1" t="s">
        <v>0</v>
      </c>
      <c r="C25" s="2" t="s">
        <v>13</v>
      </c>
      <c r="D25" s="2" t="s">
        <v>14</v>
      </c>
      <c r="E25" s="2" t="s">
        <v>15</v>
      </c>
      <c r="F25" s="2" t="s">
        <v>16</v>
      </c>
      <c r="G25" s="2" t="s">
        <v>17</v>
      </c>
      <c r="H25" s="2" t="s">
        <v>18</v>
      </c>
      <c r="I25" s="2" t="s">
        <v>19</v>
      </c>
      <c r="J25" s="2" t="s">
        <v>20</v>
      </c>
      <c r="K25" s="2" t="s">
        <v>21</v>
      </c>
      <c r="L25" s="2" t="s">
        <v>23</v>
      </c>
      <c r="M25" s="2" t="s">
        <v>22</v>
      </c>
      <c r="N25" s="1" t="s">
        <v>11</v>
      </c>
      <c r="O25" s="1" t="s">
        <v>12</v>
      </c>
      <c r="P25" s="1" t="s">
        <v>35</v>
      </c>
      <c r="Q25" s="1" t="s">
        <v>36</v>
      </c>
      <c r="R25" s="1" t="s">
        <v>37</v>
      </c>
      <c r="S25" s="1" t="s">
        <v>38</v>
      </c>
    </row>
    <row r="26" spans="2:19" x14ac:dyDescent="0.3">
      <c r="B26" s="1" t="s">
        <v>1</v>
      </c>
      <c r="C26" s="1">
        <v>11.45</v>
      </c>
      <c r="D26" s="1">
        <v>98.580200000000005</v>
      </c>
      <c r="E26" s="1">
        <v>-35.880299999999998</v>
      </c>
      <c r="F26" s="1">
        <f>SQRT(D26^2+E26^2)</f>
        <v>104.90687184417426</v>
      </c>
      <c r="G26" s="1">
        <v>450</v>
      </c>
      <c r="H26" s="1">
        <f>F26</f>
        <v>104.90687184417426</v>
      </c>
      <c r="I26" s="1">
        <v>0</v>
      </c>
      <c r="J26" s="1">
        <v>0</v>
      </c>
      <c r="K26" s="1">
        <f>G26</f>
        <v>450</v>
      </c>
      <c r="L26" s="1">
        <v>40</v>
      </c>
      <c r="M26" s="4">
        <v>1</v>
      </c>
      <c r="N26" s="4">
        <v>2.4300000000000002</v>
      </c>
      <c r="O26" s="4">
        <v>2</v>
      </c>
      <c r="P26" s="1">
        <v>5.2041000000000004</v>
      </c>
      <c r="Q26" s="1">
        <v>6.4414999999999996</v>
      </c>
      <c r="R26" s="1">
        <v>4.7839</v>
      </c>
      <c r="S26" s="1">
        <v>4.99</v>
      </c>
    </row>
    <row r="27" spans="2:19" x14ac:dyDescent="0.3">
      <c r="B27" s="1" t="s">
        <v>2</v>
      </c>
      <c r="C27" s="1">
        <v>19.73</v>
      </c>
      <c r="D27" s="1">
        <v>169.86789999999999</v>
      </c>
      <c r="E27" s="1">
        <v>-61.826900000000002</v>
      </c>
      <c r="F27" s="1">
        <f t="shared" ref="F27:F30" si="4">SQRT(D27^2+E27^2)</f>
        <v>180.76965733778442</v>
      </c>
      <c r="G27" s="1">
        <v>450</v>
      </c>
      <c r="H27" s="1">
        <f t="shared" ref="H27:H34" si="5">F27</f>
        <v>180.76965733778442</v>
      </c>
      <c r="I27" s="1">
        <v>0</v>
      </c>
      <c r="J27" s="1">
        <v>0</v>
      </c>
      <c r="K27" s="1">
        <f t="shared" ref="K27:K43" si="6">G27</f>
        <v>450</v>
      </c>
      <c r="L27" s="1">
        <v>47</v>
      </c>
      <c r="M27" s="4">
        <v>0.15</v>
      </c>
      <c r="N27" s="4">
        <v>5.4</v>
      </c>
      <c r="O27" s="4">
        <v>3.15</v>
      </c>
      <c r="P27" s="1">
        <v>3.528</v>
      </c>
      <c r="Q27" s="1">
        <v>4.3411999999999997</v>
      </c>
      <c r="R27" s="1">
        <v>3.8803000000000001</v>
      </c>
      <c r="S27" s="1">
        <v>3.4403999999999999</v>
      </c>
    </row>
    <row r="28" spans="2:19" x14ac:dyDescent="0.3">
      <c r="B28" s="1" t="s">
        <v>3</v>
      </c>
      <c r="C28" s="1">
        <v>38.229999999999997</v>
      </c>
      <c r="D28" s="1">
        <v>329.14589999999998</v>
      </c>
      <c r="E28" s="1">
        <v>-119.7993</v>
      </c>
      <c r="F28" s="1">
        <f t="shared" si="4"/>
        <v>350.26974714825144</v>
      </c>
      <c r="G28" s="1">
        <v>450</v>
      </c>
      <c r="H28" s="1">
        <f t="shared" si="5"/>
        <v>350.26974714825144</v>
      </c>
      <c r="I28" s="1">
        <v>0</v>
      </c>
      <c r="J28" s="1">
        <v>0</v>
      </c>
      <c r="K28" s="1">
        <f t="shared" si="6"/>
        <v>450</v>
      </c>
      <c r="L28" s="1">
        <v>50</v>
      </c>
      <c r="M28" s="4">
        <v>0.9</v>
      </c>
      <c r="N28" s="4">
        <v>2.25</v>
      </c>
      <c r="O28" s="4">
        <v>3.15</v>
      </c>
      <c r="P28" s="1">
        <v>4.2945000000000002</v>
      </c>
      <c r="Q28" s="1">
        <v>5.3240999999999996</v>
      </c>
      <c r="R28" s="1">
        <v>4.6468999999999996</v>
      </c>
      <c r="S28" s="1">
        <v>4.1776999999999997</v>
      </c>
    </row>
    <row r="29" spans="2:19" x14ac:dyDescent="0.3">
      <c r="B29" s="1" t="s">
        <v>6</v>
      </c>
      <c r="C29" s="1">
        <v>55.65</v>
      </c>
      <c r="D29" s="1">
        <v>479.12560000000002</v>
      </c>
      <c r="E29" s="1">
        <v>-174.38740000000001</v>
      </c>
      <c r="F29" s="1">
        <f t="shared" si="4"/>
        <v>509.8747942918144</v>
      </c>
      <c r="G29" s="1">
        <v>450</v>
      </c>
      <c r="H29" s="1">
        <f t="shared" si="5"/>
        <v>509.8747942918144</v>
      </c>
      <c r="I29" s="1">
        <v>0</v>
      </c>
      <c r="J29" s="1">
        <v>0</v>
      </c>
      <c r="K29" s="1">
        <f t="shared" si="6"/>
        <v>450</v>
      </c>
      <c r="L29" s="1">
        <v>50</v>
      </c>
      <c r="M29" s="4">
        <v>1.5</v>
      </c>
      <c r="N29" s="4">
        <v>2.15</v>
      </c>
      <c r="O29" s="4">
        <v>1.5</v>
      </c>
      <c r="P29" s="1">
        <v>3.8395000000000001</v>
      </c>
      <c r="Q29" s="1">
        <v>4.3609</v>
      </c>
      <c r="R29" s="1">
        <v>4.2595000000000001</v>
      </c>
      <c r="S29" s="1">
        <v>3.7924000000000002</v>
      </c>
    </row>
    <row r="30" spans="2:19" x14ac:dyDescent="0.3">
      <c r="B30" s="1" t="s">
        <v>2</v>
      </c>
      <c r="C30" s="1">
        <v>78.58</v>
      </c>
      <c r="D30" s="1">
        <v>676.54420000000005</v>
      </c>
      <c r="E30" s="1">
        <v>-246.24199999999999</v>
      </c>
      <c r="F30" s="1">
        <f t="shared" si="4"/>
        <v>719.96331650830666</v>
      </c>
      <c r="G30" s="1">
        <v>450</v>
      </c>
      <c r="H30" s="1">
        <f t="shared" si="5"/>
        <v>719.96331650830666</v>
      </c>
      <c r="I30" s="1">
        <v>0</v>
      </c>
      <c r="J30" s="1">
        <v>0</v>
      </c>
      <c r="K30" s="1">
        <f t="shared" si="6"/>
        <v>450</v>
      </c>
      <c r="L30" s="1">
        <v>52</v>
      </c>
      <c r="M30" s="4">
        <v>0.18</v>
      </c>
      <c r="N30" s="4">
        <v>5.0999999999999996</v>
      </c>
      <c r="O30" s="4">
        <v>3</v>
      </c>
      <c r="P30" s="1">
        <v>1.5786</v>
      </c>
      <c r="Q30" s="1">
        <v>1.7233000000000001</v>
      </c>
      <c r="R30" s="1">
        <v>1.7072000000000001</v>
      </c>
      <c r="S30" s="1">
        <v>1.5659000000000001</v>
      </c>
    </row>
    <row r="31" spans="2:19" x14ac:dyDescent="0.3">
      <c r="B31" s="1" t="s">
        <v>4</v>
      </c>
      <c r="C31" s="1">
        <v>97.08</v>
      </c>
      <c r="D31" s="1">
        <v>835.82230000000004</v>
      </c>
      <c r="E31" s="1">
        <v>-304.21440000000001</v>
      </c>
      <c r="F31" s="1">
        <f>SQRT(D31^2+E31^2)</f>
        <v>889.46350028803886</v>
      </c>
      <c r="G31" s="1">
        <v>450</v>
      </c>
      <c r="H31" s="1">
        <f t="shared" si="5"/>
        <v>889.46350028803886</v>
      </c>
      <c r="I31" s="1">
        <v>0</v>
      </c>
      <c r="J31" s="1">
        <v>0</v>
      </c>
      <c r="K31" s="1">
        <f t="shared" si="6"/>
        <v>450</v>
      </c>
      <c r="L31" s="1">
        <v>55</v>
      </c>
      <c r="M31" s="4">
        <v>0.9</v>
      </c>
      <c r="N31" s="4">
        <v>2.35</v>
      </c>
      <c r="O31" s="4">
        <v>3.2</v>
      </c>
      <c r="P31" s="1">
        <v>2.6634000000000002</v>
      </c>
      <c r="Q31" s="1">
        <v>3.0463</v>
      </c>
      <c r="R31" s="1">
        <v>2.9649000000000001</v>
      </c>
      <c r="S31" s="1">
        <v>2.6286999999999998</v>
      </c>
    </row>
    <row r="32" spans="2:19" x14ac:dyDescent="0.3">
      <c r="B32" s="1" t="s">
        <v>24</v>
      </c>
      <c r="C32" s="1">
        <v>116.5</v>
      </c>
      <c r="D32" s="1">
        <v>765.22519999999997</v>
      </c>
      <c r="E32" s="1">
        <v>-278.51920000000001</v>
      </c>
      <c r="F32" s="1">
        <f>SQRT(D32^2+E32^2)</f>
        <v>814.33565038237145</v>
      </c>
      <c r="G32" s="1">
        <v>450</v>
      </c>
      <c r="H32" s="1">
        <f t="shared" si="5"/>
        <v>814.33565038237145</v>
      </c>
      <c r="I32" s="1">
        <v>0</v>
      </c>
      <c r="J32" s="1">
        <v>0</v>
      </c>
      <c r="K32" s="1">
        <f t="shared" si="6"/>
        <v>450</v>
      </c>
      <c r="L32" s="1">
        <v>55</v>
      </c>
      <c r="M32" s="4">
        <v>1.5</v>
      </c>
      <c r="N32" s="4">
        <v>2.1</v>
      </c>
      <c r="O32" s="4">
        <v>1.45</v>
      </c>
      <c r="P32" s="1">
        <v>3.4176000000000002</v>
      </c>
      <c r="Q32" s="1">
        <v>3.7273000000000001</v>
      </c>
      <c r="R32" s="1">
        <v>3.6934</v>
      </c>
      <c r="S32" s="1">
        <v>3.3904000000000001</v>
      </c>
    </row>
    <row r="33" spans="2:19" x14ac:dyDescent="0.3">
      <c r="B33" s="1" t="s">
        <v>5</v>
      </c>
      <c r="C33" s="1">
        <v>134</v>
      </c>
      <c r="D33" s="1">
        <v>701.60789999999997</v>
      </c>
      <c r="E33" s="1">
        <v>-255.36439999999999</v>
      </c>
      <c r="F33" s="1">
        <f>SQRT(D33^2+E33^2)</f>
        <v>746.63553500337093</v>
      </c>
      <c r="G33" s="1">
        <v>450</v>
      </c>
      <c r="H33" s="1">
        <f t="shared" si="5"/>
        <v>746.63553500337093</v>
      </c>
      <c r="I33" s="1">
        <v>0</v>
      </c>
      <c r="J33" s="1">
        <v>0</v>
      </c>
      <c r="K33" s="1">
        <f t="shared" si="6"/>
        <v>450</v>
      </c>
      <c r="L33" s="1">
        <v>60</v>
      </c>
      <c r="M33" s="4">
        <v>0.9</v>
      </c>
      <c r="N33" s="4">
        <v>2.4</v>
      </c>
      <c r="O33" s="4">
        <v>3.27</v>
      </c>
      <c r="P33" s="8">
        <v>3.87914090731201</v>
      </c>
      <c r="Q33" s="8">
        <v>4.5054755950344303</v>
      </c>
      <c r="R33" s="8">
        <v>4.3438780360517102</v>
      </c>
      <c r="S33" s="8">
        <v>3.8212232686783598</v>
      </c>
    </row>
    <row r="34" spans="2:19" x14ac:dyDescent="0.3">
      <c r="B34" s="1" t="s">
        <v>7</v>
      </c>
      <c r="C34" s="1">
        <v>151.5</v>
      </c>
      <c r="D34" s="1">
        <v>637.99059999999997</v>
      </c>
      <c r="E34" s="1">
        <v>-232.20959999999999</v>
      </c>
      <c r="F34" s="1">
        <f>SQRT(D34^2+E34^2)</f>
        <v>678.93541962437041</v>
      </c>
      <c r="G34" s="1">
        <v>450</v>
      </c>
      <c r="H34" s="1">
        <f t="shared" si="5"/>
        <v>678.93541962437041</v>
      </c>
      <c r="I34" s="1">
        <v>0</v>
      </c>
      <c r="J34" s="1">
        <v>0</v>
      </c>
      <c r="K34" s="1">
        <f t="shared" si="6"/>
        <v>450</v>
      </c>
      <c r="L34" s="1">
        <v>60</v>
      </c>
      <c r="M34" s="4">
        <v>1.5</v>
      </c>
      <c r="N34" s="4">
        <v>2.08</v>
      </c>
      <c r="O34" s="4">
        <v>1.42</v>
      </c>
      <c r="P34" s="1">
        <v>5.2154999999999996</v>
      </c>
      <c r="Q34" s="1">
        <v>5.7565</v>
      </c>
      <c r="R34" s="1">
        <v>5.6853999999999996</v>
      </c>
      <c r="S34" s="1">
        <v>5.1677</v>
      </c>
    </row>
    <row r="35" spans="2:19" x14ac:dyDescent="0.3">
      <c r="B35" s="1" t="s">
        <v>25</v>
      </c>
      <c r="C35" s="1">
        <v>175.5</v>
      </c>
      <c r="D35" s="1">
        <v>550.7441</v>
      </c>
      <c r="E35" s="1">
        <v>-200.45439999999999</v>
      </c>
      <c r="F35" s="1">
        <f t="shared" ref="F35:F43" si="7">SQRT(D35^2+E35^2)</f>
        <v>586.08960932963998</v>
      </c>
      <c r="G35" s="1">
        <v>450</v>
      </c>
      <c r="H35" s="1">
        <f>F35</f>
        <v>586.08960932963998</v>
      </c>
      <c r="I35" s="1">
        <v>0</v>
      </c>
      <c r="J35" s="1">
        <v>0</v>
      </c>
      <c r="K35" s="1">
        <f t="shared" si="6"/>
        <v>450</v>
      </c>
      <c r="L35" s="1">
        <v>60</v>
      </c>
      <c r="M35" s="4">
        <v>1.5</v>
      </c>
      <c r="N35" s="4">
        <v>2.08</v>
      </c>
      <c r="O35" s="4">
        <v>1.42</v>
      </c>
      <c r="P35" s="1">
        <v>5.9414999999999996</v>
      </c>
      <c r="Q35" s="1">
        <v>6.6375999999999999</v>
      </c>
      <c r="R35" s="1">
        <v>6.5289999999999999</v>
      </c>
      <c r="S35" s="1">
        <v>5.8795000000000002</v>
      </c>
    </row>
    <row r="36" spans="2:19" x14ac:dyDescent="0.3">
      <c r="B36" s="1" t="s">
        <v>8</v>
      </c>
      <c r="C36" s="1">
        <v>193</v>
      </c>
      <c r="D36" s="1">
        <v>487.1268</v>
      </c>
      <c r="E36" s="1">
        <v>-177.2996</v>
      </c>
      <c r="F36" s="1">
        <f t="shared" si="7"/>
        <v>518.38949395063946</v>
      </c>
      <c r="G36" s="1">
        <v>450</v>
      </c>
      <c r="H36" s="1">
        <f t="shared" ref="H36:H43" si="8">F36</f>
        <v>518.38949395063946</v>
      </c>
      <c r="I36" s="1">
        <v>0</v>
      </c>
      <c r="J36" s="1">
        <v>0</v>
      </c>
      <c r="K36" s="1">
        <f t="shared" si="6"/>
        <v>450</v>
      </c>
      <c r="L36" s="1">
        <v>60</v>
      </c>
      <c r="M36" s="4">
        <v>0.9</v>
      </c>
      <c r="N36" s="4">
        <v>2.4</v>
      </c>
      <c r="O36" s="4">
        <v>3.27</v>
      </c>
      <c r="P36" s="1">
        <v>5.1889000000000003</v>
      </c>
      <c r="Q36" s="1">
        <v>6.2354000000000003</v>
      </c>
      <c r="R36" s="1">
        <v>5.8193000000000001</v>
      </c>
      <c r="S36" s="1">
        <v>5.0857999999999999</v>
      </c>
    </row>
    <row r="37" spans="2:19" x14ac:dyDescent="0.3">
      <c r="B37" s="1" t="s">
        <v>26</v>
      </c>
      <c r="C37" s="1">
        <v>210.5</v>
      </c>
      <c r="D37" s="1">
        <v>423.5095</v>
      </c>
      <c r="E37" s="1">
        <v>-154.1448</v>
      </c>
      <c r="F37" s="1">
        <f t="shared" si="7"/>
        <v>450.68937857163888</v>
      </c>
      <c r="G37" s="1">
        <v>450</v>
      </c>
      <c r="H37" s="1">
        <f t="shared" si="8"/>
        <v>450.68937857163888</v>
      </c>
      <c r="I37" s="1">
        <v>0</v>
      </c>
      <c r="J37" s="1">
        <v>0</v>
      </c>
      <c r="K37" s="1">
        <f t="shared" si="6"/>
        <v>450</v>
      </c>
      <c r="L37" s="1">
        <v>55</v>
      </c>
      <c r="M37" s="4">
        <v>1.5</v>
      </c>
      <c r="N37" s="4">
        <v>2.1</v>
      </c>
      <c r="O37" s="4">
        <v>1.45</v>
      </c>
      <c r="P37" s="1">
        <v>5.7466999999999997</v>
      </c>
      <c r="Q37" s="1">
        <v>6.5880000000000001</v>
      </c>
      <c r="R37" s="1">
        <v>6.4036999999999997</v>
      </c>
      <c r="S37" s="1">
        <v>5.6700999999999997</v>
      </c>
    </row>
    <row r="38" spans="2:19" x14ac:dyDescent="0.3">
      <c r="B38" s="1" t="s">
        <v>9</v>
      </c>
      <c r="C38" s="1">
        <v>229.93</v>
      </c>
      <c r="D38" s="1">
        <v>352.87610000000001</v>
      </c>
      <c r="E38" s="1">
        <v>-128.43639999999999</v>
      </c>
      <c r="F38" s="1">
        <f t="shared" si="7"/>
        <v>375.52290315794323</v>
      </c>
      <c r="G38" s="1">
        <v>450</v>
      </c>
      <c r="H38" s="1">
        <f t="shared" si="8"/>
        <v>375.52290315794323</v>
      </c>
      <c r="I38" s="1">
        <v>0</v>
      </c>
      <c r="J38" s="1">
        <v>0</v>
      </c>
      <c r="K38" s="1">
        <f t="shared" si="6"/>
        <v>450</v>
      </c>
      <c r="L38" s="1">
        <v>55</v>
      </c>
      <c r="M38" s="4">
        <v>0.9</v>
      </c>
      <c r="N38" s="4">
        <v>2.35</v>
      </c>
      <c r="O38" s="4">
        <v>3.2</v>
      </c>
      <c r="P38" s="1">
        <v>5.2214</v>
      </c>
      <c r="Q38" s="1">
        <v>6.4352</v>
      </c>
      <c r="R38" s="1">
        <v>5.7270000000000003</v>
      </c>
      <c r="S38" s="1">
        <v>5.0894000000000004</v>
      </c>
    </row>
    <row r="39" spans="2:19" x14ac:dyDescent="0.3">
      <c r="B39" s="1" t="s">
        <v>2</v>
      </c>
      <c r="C39" s="1">
        <v>248.43</v>
      </c>
      <c r="D39" s="1">
        <v>285.62349999999998</v>
      </c>
      <c r="E39" s="1">
        <v>-103.9585</v>
      </c>
      <c r="F39" s="1">
        <f t="shared" si="7"/>
        <v>303.95419634296877</v>
      </c>
      <c r="G39" s="1">
        <v>450</v>
      </c>
      <c r="H39" s="1">
        <f t="shared" si="8"/>
        <v>303.95419634296877</v>
      </c>
      <c r="I39" s="1">
        <v>0</v>
      </c>
      <c r="J39" s="1">
        <v>0</v>
      </c>
      <c r="K39" s="1">
        <f t="shared" si="6"/>
        <v>450</v>
      </c>
      <c r="L39" s="1">
        <v>52</v>
      </c>
      <c r="M39" s="4">
        <v>0.18</v>
      </c>
      <c r="N39" s="4">
        <v>5.0999999999999996</v>
      </c>
      <c r="O39" s="4">
        <v>3</v>
      </c>
      <c r="P39" s="1">
        <v>3.3149000000000002</v>
      </c>
      <c r="Q39" s="1">
        <v>3.9041999999999999</v>
      </c>
      <c r="R39" s="1">
        <v>3.7231999999999998</v>
      </c>
      <c r="S39" s="1">
        <v>3.2591999999999999</v>
      </c>
    </row>
    <row r="40" spans="2:19" x14ac:dyDescent="0.3">
      <c r="B40" s="1" t="s">
        <v>27</v>
      </c>
      <c r="C40" s="1">
        <v>271.35000000000002</v>
      </c>
      <c r="D40" s="1">
        <v>202.303</v>
      </c>
      <c r="E40" s="1">
        <v>-73.632300000000001</v>
      </c>
      <c r="F40" s="1">
        <f t="shared" si="7"/>
        <v>215.28636606225209</v>
      </c>
      <c r="G40" s="1">
        <v>450</v>
      </c>
      <c r="H40" s="1">
        <f t="shared" si="8"/>
        <v>215.28636606225209</v>
      </c>
      <c r="I40" s="1">
        <v>0</v>
      </c>
      <c r="J40" s="1">
        <v>0</v>
      </c>
      <c r="K40" s="1">
        <f t="shared" si="6"/>
        <v>450</v>
      </c>
      <c r="L40" s="1">
        <v>50</v>
      </c>
      <c r="M40" s="4">
        <v>1.5</v>
      </c>
      <c r="N40" s="4">
        <v>2.15</v>
      </c>
      <c r="O40" s="4">
        <v>1.5</v>
      </c>
      <c r="P40" s="1">
        <v>7.6078999999999999</v>
      </c>
      <c r="Q40" s="1">
        <v>9.3313000000000006</v>
      </c>
      <c r="R40" s="1">
        <v>8.4072999999999993</v>
      </c>
      <c r="S40" s="1">
        <v>7.4253999999999998</v>
      </c>
    </row>
    <row r="41" spans="2:19" x14ac:dyDescent="0.3">
      <c r="B41" s="1" t="s">
        <v>10</v>
      </c>
      <c r="C41" s="1">
        <v>288.77999999999997</v>
      </c>
      <c r="D41" s="1">
        <v>138.9402</v>
      </c>
      <c r="E41" s="1">
        <v>-50.570099999999996</v>
      </c>
      <c r="F41" s="1">
        <f t="shared" si="7"/>
        <v>147.8570735205117</v>
      </c>
      <c r="G41" s="1">
        <v>450</v>
      </c>
      <c r="H41" s="1">
        <f t="shared" si="8"/>
        <v>147.8570735205117</v>
      </c>
      <c r="I41" s="1">
        <v>0</v>
      </c>
      <c r="J41" s="1">
        <v>0</v>
      </c>
      <c r="K41" s="1">
        <f t="shared" si="6"/>
        <v>450</v>
      </c>
      <c r="L41" s="1">
        <v>50</v>
      </c>
      <c r="M41" s="4">
        <v>0.9</v>
      </c>
      <c r="N41" s="4">
        <v>2.25</v>
      </c>
      <c r="O41" s="4">
        <v>3.2</v>
      </c>
      <c r="P41" s="1">
        <v>7.0068999999999999</v>
      </c>
      <c r="Q41" s="1">
        <v>8.5937000000000001</v>
      </c>
      <c r="R41" s="1">
        <v>6.1473000000000004</v>
      </c>
      <c r="S41" s="1">
        <v>6.6966000000000001</v>
      </c>
    </row>
    <row r="42" spans="2:19" x14ac:dyDescent="0.3">
      <c r="B42" s="1" t="s">
        <v>2</v>
      </c>
      <c r="C42" s="1">
        <v>307.27999999999997</v>
      </c>
      <c r="D42" s="1">
        <v>71.687600000000003</v>
      </c>
      <c r="E42" s="1">
        <v>-26.092199999999998</v>
      </c>
      <c r="F42" s="1">
        <f t="shared" si="7"/>
        <v>76.28836670554692</v>
      </c>
      <c r="G42" s="1">
        <v>450</v>
      </c>
      <c r="H42" s="1">
        <f t="shared" si="8"/>
        <v>76.28836670554692</v>
      </c>
      <c r="I42" s="1">
        <v>0</v>
      </c>
      <c r="J42" s="1">
        <v>0</v>
      </c>
      <c r="K42" s="1">
        <f t="shared" si="6"/>
        <v>450</v>
      </c>
      <c r="L42" s="1">
        <v>47</v>
      </c>
      <c r="M42" s="4">
        <v>0.15</v>
      </c>
      <c r="N42" s="4">
        <v>5.4</v>
      </c>
      <c r="O42" s="4">
        <v>3.15</v>
      </c>
      <c r="P42" s="1">
        <v>5.9668000000000001</v>
      </c>
      <c r="Q42" s="1">
        <v>7.3826000000000001</v>
      </c>
      <c r="R42" s="1">
        <v>5.4724000000000004</v>
      </c>
      <c r="S42" s="1">
        <v>5.7203999999999997</v>
      </c>
    </row>
    <row r="43" spans="2:19" x14ac:dyDescent="0.3">
      <c r="B43" s="3" t="s">
        <v>28</v>
      </c>
      <c r="C43" s="3">
        <v>315.55</v>
      </c>
      <c r="D43" s="3">
        <v>41.623899999999999</v>
      </c>
      <c r="E43" s="3">
        <v>-15.149900000000001</v>
      </c>
      <c r="F43" s="3">
        <f t="shared" si="7"/>
        <v>44.295242647715568</v>
      </c>
      <c r="G43" s="3">
        <v>450</v>
      </c>
      <c r="H43" s="3">
        <f t="shared" si="8"/>
        <v>44.295242647715568</v>
      </c>
      <c r="I43" s="3">
        <v>0</v>
      </c>
      <c r="J43" s="3">
        <v>0</v>
      </c>
      <c r="K43" s="3">
        <f t="shared" si="6"/>
        <v>450</v>
      </c>
      <c r="L43" s="3">
        <v>40</v>
      </c>
      <c r="M43" s="5">
        <v>1</v>
      </c>
      <c r="N43" s="5">
        <v>2.4300000000000002</v>
      </c>
      <c r="O43" s="5">
        <v>2</v>
      </c>
      <c r="P43" s="3">
        <v>7.3583999999999996</v>
      </c>
      <c r="Q43" s="3">
        <v>8.5073000000000008</v>
      </c>
      <c r="R43" s="3">
        <v>5.2774999999999999</v>
      </c>
      <c r="S43" s="3">
        <v>6.9375999999999998</v>
      </c>
    </row>
    <row r="46" spans="2:19" x14ac:dyDescent="0.3">
      <c r="B46" s="7" t="s">
        <v>31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2:19" ht="28.8" x14ac:dyDescent="0.3">
      <c r="B47" s="1" t="s">
        <v>0</v>
      </c>
      <c r="C47" s="2" t="s">
        <v>13</v>
      </c>
      <c r="D47" s="2" t="s">
        <v>14</v>
      </c>
      <c r="E47" s="2" t="s">
        <v>15</v>
      </c>
      <c r="F47" s="2" t="s">
        <v>16</v>
      </c>
      <c r="G47" s="2" t="s">
        <v>17</v>
      </c>
      <c r="H47" s="2" t="s">
        <v>18</v>
      </c>
      <c r="I47" s="2" t="s">
        <v>19</v>
      </c>
      <c r="J47" s="2" t="s">
        <v>20</v>
      </c>
      <c r="K47" s="2" t="s">
        <v>21</v>
      </c>
      <c r="L47" s="2" t="s">
        <v>23</v>
      </c>
      <c r="M47" s="2" t="s">
        <v>22</v>
      </c>
      <c r="N47" s="1" t="s">
        <v>11</v>
      </c>
      <c r="O47" s="1" t="s">
        <v>12</v>
      </c>
      <c r="P47" s="1" t="s">
        <v>35</v>
      </c>
      <c r="Q47" s="1" t="s">
        <v>36</v>
      </c>
      <c r="R47" s="1" t="s">
        <v>37</v>
      </c>
      <c r="S47" s="1" t="s">
        <v>38</v>
      </c>
    </row>
    <row r="48" spans="2:19" x14ac:dyDescent="0.3">
      <c r="B48" s="1" t="s">
        <v>1</v>
      </c>
      <c r="C48" s="1">
        <v>11.45</v>
      </c>
      <c r="D48" s="1">
        <v>72.406599999999997</v>
      </c>
      <c r="E48" s="1">
        <v>-26.353899999999999</v>
      </c>
      <c r="F48" s="1">
        <f>SQRT(D48^2+E48^2)</f>
        <v>77.053512371403286</v>
      </c>
      <c r="G48" s="1">
        <v>450</v>
      </c>
      <c r="H48" s="1">
        <f>F48</f>
        <v>77.053512371403286</v>
      </c>
      <c r="I48" s="1">
        <v>0</v>
      </c>
      <c r="J48" s="1">
        <v>0</v>
      </c>
      <c r="K48" s="1">
        <f>G48</f>
        <v>450</v>
      </c>
      <c r="L48" s="1">
        <v>40</v>
      </c>
      <c r="M48" s="4">
        <v>1</v>
      </c>
      <c r="N48" s="4">
        <v>2.4300000000000002</v>
      </c>
      <c r="O48" s="4">
        <v>2</v>
      </c>
      <c r="P48" s="1">
        <v>6.0130999999999997</v>
      </c>
      <c r="Q48" s="1">
        <v>7.2957999999999998</v>
      </c>
      <c r="R48" s="1">
        <v>5.0425000000000004</v>
      </c>
      <c r="S48" s="1">
        <v>5.7290999999999999</v>
      </c>
    </row>
    <row r="49" spans="2:19" x14ac:dyDescent="0.3">
      <c r="B49" s="1" t="s">
        <v>2</v>
      </c>
      <c r="C49" s="1">
        <v>19.73</v>
      </c>
      <c r="D49" s="1">
        <v>124.767</v>
      </c>
      <c r="E49" s="1">
        <v>-45.411499999999997</v>
      </c>
      <c r="F49" s="1">
        <f t="shared" ref="F49:F52" si="9">SQRT(D49^2+E49^2)</f>
        <v>132.77427695623123</v>
      </c>
      <c r="G49" s="1">
        <v>450</v>
      </c>
      <c r="H49" s="1">
        <f t="shared" ref="H49:H56" si="10">F49</f>
        <v>132.77427695623123</v>
      </c>
      <c r="I49" s="1">
        <v>0</v>
      </c>
      <c r="J49" s="1">
        <v>0</v>
      </c>
      <c r="K49" s="1">
        <f t="shared" ref="K49:K65" si="11">G49</f>
        <v>450</v>
      </c>
      <c r="L49" s="1">
        <v>47</v>
      </c>
      <c r="M49" s="4">
        <v>0.15</v>
      </c>
      <c r="N49" s="4">
        <v>5.4</v>
      </c>
      <c r="O49" s="4">
        <v>3.15</v>
      </c>
      <c r="P49" s="1">
        <v>4.3434999999999997</v>
      </c>
      <c r="Q49" s="1">
        <v>5.4184000000000001</v>
      </c>
      <c r="R49" s="1">
        <v>4.5685000000000002</v>
      </c>
      <c r="S49" s="1">
        <v>4.2115</v>
      </c>
    </row>
    <row r="50" spans="2:19" x14ac:dyDescent="0.3">
      <c r="B50" s="1" t="s">
        <v>3</v>
      </c>
      <c r="C50" s="1">
        <v>38.229999999999997</v>
      </c>
      <c r="D50" s="1">
        <v>241.7559</v>
      </c>
      <c r="E50" s="1">
        <v>-87.992000000000004</v>
      </c>
      <c r="F50" s="1">
        <f t="shared" si="9"/>
        <v>257.27127171297224</v>
      </c>
      <c r="G50" s="1">
        <v>450</v>
      </c>
      <c r="H50" s="1">
        <f t="shared" si="10"/>
        <v>257.27127171297224</v>
      </c>
      <c r="I50" s="1">
        <v>0</v>
      </c>
      <c r="J50" s="1">
        <v>0</v>
      </c>
      <c r="K50" s="1">
        <f t="shared" si="11"/>
        <v>450</v>
      </c>
      <c r="L50" s="1">
        <v>50</v>
      </c>
      <c r="M50" s="4">
        <v>0.9</v>
      </c>
      <c r="N50" s="4">
        <v>2.25</v>
      </c>
      <c r="O50" s="4">
        <v>3.15</v>
      </c>
      <c r="P50" s="1">
        <v>5.2380000000000004</v>
      </c>
      <c r="Q50" s="1">
        <v>6.5469999999999997</v>
      </c>
      <c r="R50" s="1">
        <v>5.3593000000000002</v>
      </c>
      <c r="S50" s="1">
        <v>5.0652999999999997</v>
      </c>
    </row>
    <row r="51" spans="2:19" x14ac:dyDescent="0.3">
      <c r="B51" s="1" t="s">
        <v>6</v>
      </c>
      <c r="C51" s="1">
        <v>55.65</v>
      </c>
      <c r="D51" s="1">
        <v>351.9151</v>
      </c>
      <c r="E51" s="1">
        <v>-128.0866</v>
      </c>
      <c r="F51" s="1">
        <f t="shared" si="9"/>
        <v>374.50021990323313</v>
      </c>
      <c r="G51" s="1">
        <v>450</v>
      </c>
      <c r="H51" s="1">
        <f t="shared" si="10"/>
        <v>374.50021990323313</v>
      </c>
      <c r="I51" s="1">
        <v>0</v>
      </c>
      <c r="J51" s="1">
        <v>0</v>
      </c>
      <c r="K51" s="1">
        <f t="shared" si="11"/>
        <v>450</v>
      </c>
      <c r="L51" s="1">
        <v>50</v>
      </c>
      <c r="M51" s="4">
        <v>1.5</v>
      </c>
      <c r="N51" s="4">
        <v>2.15</v>
      </c>
      <c r="O51" s="4">
        <v>1.5</v>
      </c>
      <c r="P51" s="1">
        <v>4.9710000000000001</v>
      </c>
      <c r="Q51" s="1">
        <v>5.8128000000000002</v>
      </c>
      <c r="R51" s="1">
        <v>5.5765000000000002</v>
      </c>
      <c r="S51" s="1">
        <v>4.8924000000000003</v>
      </c>
    </row>
    <row r="52" spans="2:19" x14ac:dyDescent="0.3">
      <c r="B52" s="1" t="s">
        <v>2</v>
      </c>
      <c r="C52" s="1">
        <v>78.58</v>
      </c>
      <c r="D52" s="1">
        <v>496.91809999999998</v>
      </c>
      <c r="E52" s="1">
        <v>-180.86340000000001</v>
      </c>
      <c r="F52" s="1">
        <f t="shared" si="9"/>
        <v>528.80919769532181</v>
      </c>
      <c r="G52" s="1">
        <v>450</v>
      </c>
      <c r="H52" s="1">
        <f t="shared" si="10"/>
        <v>528.80919769532181</v>
      </c>
      <c r="I52" s="1">
        <v>0</v>
      </c>
      <c r="J52" s="1">
        <v>0</v>
      </c>
      <c r="K52" s="1">
        <f t="shared" si="11"/>
        <v>450</v>
      </c>
      <c r="L52" s="1">
        <v>52</v>
      </c>
      <c r="M52" s="4">
        <v>0.18</v>
      </c>
      <c r="N52" s="4">
        <v>5.0999999999999996</v>
      </c>
      <c r="O52" s="4">
        <v>3</v>
      </c>
      <c r="P52" s="1">
        <v>2.0789</v>
      </c>
      <c r="Q52" s="1">
        <v>2.3258999999999999</v>
      </c>
      <c r="R52" s="1">
        <v>2.2866</v>
      </c>
      <c r="S52" s="1">
        <v>2.0569000000000002</v>
      </c>
    </row>
    <row r="53" spans="2:19" x14ac:dyDescent="0.3">
      <c r="B53" s="1" t="s">
        <v>4</v>
      </c>
      <c r="C53" s="1">
        <v>97.08</v>
      </c>
      <c r="D53" s="1">
        <v>613.90689999999995</v>
      </c>
      <c r="E53" s="1">
        <v>-223.44390000000001</v>
      </c>
      <c r="F53" s="1">
        <f>SQRT(D53^2+E53^2)</f>
        <v>653.30609848280153</v>
      </c>
      <c r="G53" s="1">
        <v>450</v>
      </c>
      <c r="H53" s="1">
        <f t="shared" si="10"/>
        <v>653.30609848280153</v>
      </c>
      <c r="I53" s="1">
        <v>0</v>
      </c>
      <c r="J53" s="1">
        <v>0</v>
      </c>
      <c r="K53" s="1">
        <f t="shared" si="11"/>
        <v>450</v>
      </c>
      <c r="L53" s="1">
        <v>55</v>
      </c>
      <c r="M53" s="4">
        <v>0.9</v>
      </c>
      <c r="N53" s="4">
        <v>2.35</v>
      </c>
      <c r="O53" s="4">
        <v>3.2</v>
      </c>
      <c r="P53" s="1">
        <v>3.4371999999999998</v>
      </c>
      <c r="Q53" s="1">
        <v>4.0481999999999996</v>
      </c>
      <c r="R53" s="1">
        <v>3.8605999999999998</v>
      </c>
      <c r="S53" s="1">
        <v>3.3795000000000002</v>
      </c>
    </row>
    <row r="54" spans="2:19" x14ac:dyDescent="0.3">
      <c r="B54" s="1" t="s">
        <v>24</v>
      </c>
      <c r="C54" s="1">
        <v>116.5</v>
      </c>
      <c r="D54" s="1">
        <v>736.71360000000004</v>
      </c>
      <c r="E54" s="1">
        <v>-268.14179999999999</v>
      </c>
      <c r="F54" s="1">
        <f>SQRT(D54^2+E54^2)</f>
        <v>783.99423042022454</v>
      </c>
      <c r="G54" s="1">
        <v>450</v>
      </c>
      <c r="H54" s="1">
        <f t="shared" si="10"/>
        <v>783.99423042022454</v>
      </c>
      <c r="I54" s="1">
        <v>0</v>
      </c>
      <c r="J54" s="1">
        <v>0</v>
      </c>
      <c r="K54" s="1">
        <f t="shared" si="11"/>
        <v>450</v>
      </c>
      <c r="L54" s="1">
        <v>55</v>
      </c>
      <c r="M54" s="4">
        <v>1.5</v>
      </c>
      <c r="N54" s="4">
        <v>2.1</v>
      </c>
      <c r="O54" s="4">
        <v>1.45</v>
      </c>
      <c r="P54" s="1">
        <v>3.5371999999999999</v>
      </c>
      <c r="Q54" s="1">
        <v>3.8685</v>
      </c>
      <c r="R54" s="1">
        <v>3.8306</v>
      </c>
      <c r="S54" s="1">
        <v>3.508</v>
      </c>
    </row>
    <row r="55" spans="2:19" x14ac:dyDescent="0.3">
      <c r="B55" s="1" t="s">
        <v>5</v>
      </c>
      <c r="C55" s="1">
        <v>134</v>
      </c>
      <c r="D55" s="1">
        <v>847.37879999999996</v>
      </c>
      <c r="E55" s="1">
        <v>-308.42059999999998</v>
      </c>
      <c r="F55" s="1">
        <f>SQRT(D55^2+E55^2)</f>
        <v>901.76166318700859</v>
      </c>
      <c r="G55" s="1">
        <v>450</v>
      </c>
      <c r="H55" s="1">
        <f t="shared" si="10"/>
        <v>901.76166318700859</v>
      </c>
      <c r="I55" s="1">
        <v>0</v>
      </c>
      <c r="J55" s="1">
        <v>0</v>
      </c>
      <c r="K55" s="1">
        <f t="shared" si="11"/>
        <v>450</v>
      </c>
      <c r="L55" s="1">
        <v>60</v>
      </c>
      <c r="M55" s="4">
        <v>0.9</v>
      </c>
      <c r="N55" s="4">
        <v>2.4</v>
      </c>
      <c r="O55" s="4">
        <v>3.27</v>
      </c>
      <c r="P55" s="8">
        <v>3.3111118442827898</v>
      </c>
      <c r="Q55" s="8">
        <v>3.7777590759550201</v>
      </c>
      <c r="R55" s="8">
        <v>3.6815804171550499</v>
      </c>
      <c r="S55" s="8">
        <v>3.2688218159178799</v>
      </c>
    </row>
    <row r="56" spans="2:19" x14ac:dyDescent="0.3">
      <c r="B56" s="1" t="s">
        <v>7</v>
      </c>
      <c r="C56" s="1">
        <v>151.5</v>
      </c>
      <c r="D56" s="1">
        <v>770.54390000000001</v>
      </c>
      <c r="E56" s="1">
        <v>-280.45499999999998</v>
      </c>
      <c r="F56" s="1">
        <f>SQRT(D56^2+E56^2)</f>
        <v>819.99567611799637</v>
      </c>
      <c r="G56" s="1">
        <v>450</v>
      </c>
      <c r="H56" s="1">
        <f t="shared" si="10"/>
        <v>819.99567611799637</v>
      </c>
      <c r="I56" s="1">
        <v>0</v>
      </c>
      <c r="J56" s="1">
        <v>0</v>
      </c>
      <c r="K56" s="1">
        <f t="shared" si="11"/>
        <v>450</v>
      </c>
      <c r="L56" s="1">
        <v>60</v>
      </c>
      <c r="M56" s="4">
        <v>1.5</v>
      </c>
      <c r="N56" s="4">
        <v>2.08</v>
      </c>
      <c r="O56" s="4">
        <v>1.42</v>
      </c>
      <c r="P56" s="1">
        <v>4.3989000000000003</v>
      </c>
      <c r="Q56" s="1">
        <v>4.7868000000000004</v>
      </c>
      <c r="R56" s="1">
        <v>4.7458</v>
      </c>
      <c r="S56" s="1">
        <v>4.3647999999999998</v>
      </c>
    </row>
    <row r="57" spans="2:19" x14ac:dyDescent="0.3">
      <c r="B57" s="1" t="s">
        <v>25</v>
      </c>
      <c r="C57" s="1">
        <v>175.5</v>
      </c>
      <c r="D57" s="1">
        <v>665.17039999999997</v>
      </c>
      <c r="E57" s="1">
        <v>-242.10220000000001</v>
      </c>
      <c r="F57" s="1">
        <f t="shared" ref="F57:F65" si="12">SQRT(D57^2+E57^2)</f>
        <v>707.85954558867115</v>
      </c>
      <c r="G57" s="1">
        <v>450</v>
      </c>
      <c r="H57" s="1">
        <f>F57</f>
        <v>707.85954558867115</v>
      </c>
      <c r="I57" s="1">
        <v>0</v>
      </c>
      <c r="J57" s="1">
        <v>0</v>
      </c>
      <c r="K57" s="1">
        <f t="shared" si="11"/>
        <v>450</v>
      </c>
      <c r="L57" s="1">
        <v>60</v>
      </c>
      <c r="M57" s="4">
        <v>1.5</v>
      </c>
      <c r="N57" s="4">
        <v>2.08</v>
      </c>
      <c r="O57" s="4">
        <v>1.42</v>
      </c>
      <c r="P57" s="1">
        <v>5.0243000000000002</v>
      </c>
      <c r="Q57" s="1">
        <v>5.5273000000000003</v>
      </c>
      <c r="R57" s="1">
        <v>5.4642999999999997</v>
      </c>
      <c r="S57" s="1">
        <v>4.9798999999999998</v>
      </c>
    </row>
    <row r="58" spans="2:19" x14ac:dyDescent="0.3">
      <c r="B58" s="1" t="s">
        <v>8</v>
      </c>
      <c r="C58" s="1">
        <v>193</v>
      </c>
      <c r="D58" s="1">
        <v>588.33550000000002</v>
      </c>
      <c r="E58" s="1">
        <v>-214.13659999999999</v>
      </c>
      <c r="F58" s="1">
        <f t="shared" si="12"/>
        <v>626.09355851965927</v>
      </c>
      <c r="G58" s="1">
        <v>450</v>
      </c>
      <c r="H58" s="1">
        <f t="shared" ref="H58:H65" si="13">F58</f>
        <v>626.09355851965927</v>
      </c>
      <c r="I58" s="1">
        <v>0</v>
      </c>
      <c r="J58" s="1">
        <v>0</v>
      </c>
      <c r="K58" s="1">
        <f t="shared" si="11"/>
        <v>450</v>
      </c>
      <c r="L58" s="1">
        <v>60</v>
      </c>
      <c r="M58" s="4">
        <v>0.9</v>
      </c>
      <c r="N58" s="4">
        <v>2.4</v>
      </c>
      <c r="O58" s="4">
        <v>3.27</v>
      </c>
      <c r="P58" s="1">
        <v>4.4757999999999996</v>
      </c>
      <c r="Q58" s="1">
        <v>5.2864000000000004</v>
      </c>
      <c r="R58" s="1">
        <v>5.0285000000000002</v>
      </c>
      <c r="S58" s="1">
        <v>4.3989000000000003</v>
      </c>
    </row>
    <row r="59" spans="2:19" x14ac:dyDescent="0.3">
      <c r="B59" s="1" t="s">
        <v>26</v>
      </c>
      <c r="C59" s="1">
        <v>210.5</v>
      </c>
      <c r="D59" s="1">
        <v>511.50069999999999</v>
      </c>
      <c r="E59" s="1">
        <v>-186.17099999999999</v>
      </c>
      <c r="F59" s="1">
        <f t="shared" si="12"/>
        <v>544.32766541991043</v>
      </c>
      <c r="G59" s="1">
        <v>450</v>
      </c>
      <c r="H59" s="1">
        <f t="shared" si="13"/>
        <v>544.32766541991043</v>
      </c>
      <c r="I59" s="1">
        <v>0</v>
      </c>
      <c r="J59" s="1">
        <v>0</v>
      </c>
      <c r="K59" s="1">
        <f t="shared" si="11"/>
        <v>450</v>
      </c>
      <c r="L59" s="1">
        <v>55</v>
      </c>
      <c r="M59" s="4">
        <v>1.5</v>
      </c>
      <c r="N59" s="4">
        <v>2.1</v>
      </c>
      <c r="O59" s="4">
        <v>1.45</v>
      </c>
      <c r="P59" s="1">
        <v>4.8887999999999998</v>
      </c>
      <c r="Q59" s="1">
        <v>5.5084</v>
      </c>
      <c r="R59" s="1">
        <v>5.3998999999999997</v>
      </c>
      <c r="S59" s="1">
        <v>4.8331999999999997</v>
      </c>
    </row>
    <row r="60" spans="2:19" x14ac:dyDescent="0.3">
      <c r="B60" s="1" t="s">
        <v>9</v>
      </c>
      <c r="C60" s="1">
        <v>229.93</v>
      </c>
      <c r="D60" s="1">
        <v>426.19200000000001</v>
      </c>
      <c r="E60" s="1">
        <v>-155.12119999999999</v>
      </c>
      <c r="F60" s="1">
        <f t="shared" si="12"/>
        <v>453.54405249483762</v>
      </c>
      <c r="G60" s="1">
        <v>450</v>
      </c>
      <c r="H60" s="1">
        <f t="shared" si="13"/>
        <v>453.54405249483762</v>
      </c>
      <c r="I60" s="1">
        <v>0</v>
      </c>
      <c r="J60" s="1">
        <v>0</v>
      </c>
      <c r="K60" s="1">
        <f t="shared" si="11"/>
        <v>450</v>
      </c>
      <c r="L60" s="1">
        <v>55</v>
      </c>
      <c r="M60" s="4">
        <v>0.9</v>
      </c>
      <c r="N60" s="4">
        <v>2.35</v>
      </c>
      <c r="O60" s="4">
        <v>3.2</v>
      </c>
      <c r="P60" s="1">
        <v>4.5570000000000004</v>
      </c>
      <c r="Q60" s="1">
        <v>5.5430000000000001</v>
      </c>
      <c r="R60" s="1">
        <v>5.0784000000000002</v>
      </c>
      <c r="S60" s="1">
        <v>4.4561000000000002</v>
      </c>
    </row>
    <row r="61" spans="2:19" x14ac:dyDescent="0.3">
      <c r="B61" s="1" t="s">
        <v>2</v>
      </c>
      <c r="C61" s="1">
        <v>248.43</v>
      </c>
      <c r="D61" s="1">
        <v>344.96660000000003</v>
      </c>
      <c r="E61" s="1">
        <v>-125.55759999999999</v>
      </c>
      <c r="F61" s="1">
        <f t="shared" si="12"/>
        <v>367.10579678523192</v>
      </c>
      <c r="G61" s="1">
        <v>450</v>
      </c>
      <c r="H61" s="1">
        <f t="shared" si="13"/>
        <v>367.10579678523192</v>
      </c>
      <c r="I61" s="1">
        <v>0</v>
      </c>
      <c r="J61" s="1">
        <v>0</v>
      </c>
      <c r="K61" s="1">
        <f t="shared" si="11"/>
        <v>450</v>
      </c>
      <c r="L61" s="1">
        <v>52</v>
      </c>
      <c r="M61" s="4">
        <v>0.18</v>
      </c>
      <c r="N61" s="4">
        <v>5.0999999999999996</v>
      </c>
      <c r="O61" s="4">
        <v>3</v>
      </c>
      <c r="P61" s="1">
        <v>2.8405999999999998</v>
      </c>
      <c r="Q61" s="1">
        <v>3.2858999999999998</v>
      </c>
      <c r="R61" s="1">
        <v>3.1766999999999999</v>
      </c>
      <c r="S61" s="1">
        <v>2.7995999999999999</v>
      </c>
    </row>
    <row r="62" spans="2:19" x14ac:dyDescent="0.3">
      <c r="B62" s="1" t="s">
        <v>27</v>
      </c>
      <c r="C62" s="1">
        <v>271.35000000000002</v>
      </c>
      <c r="D62" s="1">
        <v>244.3349</v>
      </c>
      <c r="E62" s="1">
        <v>-88.930599999999998</v>
      </c>
      <c r="F62" s="1">
        <f t="shared" si="12"/>
        <v>260.01575908850214</v>
      </c>
      <c r="G62" s="1">
        <v>450</v>
      </c>
      <c r="H62" s="1">
        <f t="shared" si="13"/>
        <v>260.01575908850214</v>
      </c>
      <c r="I62" s="1">
        <v>0</v>
      </c>
      <c r="J62" s="1">
        <v>0</v>
      </c>
      <c r="K62" s="1">
        <f t="shared" si="11"/>
        <v>450</v>
      </c>
      <c r="L62" s="1">
        <v>50</v>
      </c>
      <c r="M62" s="4">
        <v>1.5</v>
      </c>
      <c r="N62" s="4">
        <v>2.15</v>
      </c>
      <c r="O62" s="4">
        <v>1.5</v>
      </c>
      <c r="P62" s="1">
        <v>6.6212</v>
      </c>
      <c r="Q62" s="1">
        <v>8.0048999999999992</v>
      </c>
      <c r="R62" s="1">
        <v>7.4074</v>
      </c>
      <c r="S62" s="1">
        <v>6.4824999999999999</v>
      </c>
    </row>
    <row r="63" spans="2:19" x14ac:dyDescent="0.3">
      <c r="B63" s="1" t="s">
        <v>10</v>
      </c>
      <c r="C63" s="1">
        <v>288.77999999999997</v>
      </c>
      <c r="D63" s="1">
        <v>167.8073</v>
      </c>
      <c r="E63" s="1">
        <v>-61.076900000000002</v>
      </c>
      <c r="F63" s="1">
        <f t="shared" si="12"/>
        <v>178.57681161589821</v>
      </c>
      <c r="G63" s="1">
        <v>450</v>
      </c>
      <c r="H63" s="1">
        <f t="shared" si="13"/>
        <v>178.57681161589821</v>
      </c>
      <c r="I63" s="1">
        <v>0</v>
      </c>
      <c r="J63" s="1">
        <v>0</v>
      </c>
      <c r="K63" s="1">
        <f t="shared" si="11"/>
        <v>450</v>
      </c>
      <c r="L63" s="1">
        <v>50</v>
      </c>
      <c r="M63" s="4">
        <v>0.9</v>
      </c>
      <c r="N63" s="4">
        <v>2.25</v>
      </c>
      <c r="O63" s="4">
        <v>3.2</v>
      </c>
      <c r="P63" s="1">
        <v>6.3868999999999998</v>
      </c>
      <c r="Q63" s="1">
        <v>7.9172000000000002</v>
      </c>
      <c r="R63" s="1">
        <v>5.9233000000000002</v>
      </c>
      <c r="S63" s="1">
        <v>6.1280999999999999</v>
      </c>
    </row>
    <row r="64" spans="2:19" x14ac:dyDescent="0.3">
      <c r="B64" s="1" t="s">
        <v>2</v>
      </c>
      <c r="C64" s="1">
        <v>307.27999999999997</v>
      </c>
      <c r="D64" s="1">
        <v>86.581900000000005</v>
      </c>
      <c r="E64" s="1">
        <v>-31.513200000000001</v>
      </c>
      <c r="F64" s="1">
        <f t="shared" si="12"/>
        <v>92.138521704279583</v>
      </c>
      <c r="G64" s="1">
        <v>450</v>
      </c>
      <c r="H64" s="1">
        <f t="shared" si="13"/>
        <v>92.138521704279583</v>
      </c>
      <c r="I64" s="1">
        <v>0</v>
      </c>
      <c r="J64" s="1">
        <v>0</v>
      </c>
      <c r="K64" s="1">
        <f t="shared" si="11"/>
        <v>450</v>
      </c>
      <c r="L64" s="1">
        <v>47</v>
      </c>
      <c r="M64" s="4">
        <v>0.15</v>
      </c>
      <c r="N64" s="4">
        <v>5.4</v>
      </c>
      <c r="O64" s="4">
        <v>3.15</v>
      </c>
      <c r="P64" s="1">
        <v>5.4004000000000003</v>
      </c>
      <c r="Q64" s="1">
        <v>6.7319000000000004</v>
      </c>
      <c r="R64" s="1">
        <v>5.2217000000000002</v>
      </c>
      <c r="S64" s="1">
        <v>5.1978</v>
      </c>
    </row>
    <row r="65" spans="2:19" x14ac:dyDescent="0.3">
      <c r="B65" s="3" t="s">
        <v>28</v>
      </c>
      <c r="C65" s="3">
        <v>315.55</v>
      </c>
      <c r="D65" s="3">
        <v>50.271999999999998</v>
      </c>
      <c r="E65" s="3">
        <v>-18.297499999999999</v>
      </c>
      <c r="F65" s="3">
        <f t="shared" si="12"/>
        <v>53.498341004651728</v>
      </c>
      <c r="G65" s="3">
        <v>450</v>
      </c>
      <c r="H65" s="3">
        <f t="shared" si="13"/>
        <v>53.498341004651728</v>
      </c>
      <c r="I65" s="3">
        <v>0</v>
      </c>
      <c r="J65" s="3">
        <v>0</v>
      </c>
      <c r="K65" s="3">
        <f t="shared" si="11"/>
        <v>450</v>
      </c>
      <c r="L65" s="3">
        <v>40</v>
      </c>
      <c r="M65" s="5">
        <v>1</v>
      </c>
      <c r="N65" s="5">
        <v>2.4300000000000002</v>
      </c>
      <c r="O65" s="5">
        <v>2</v>
      </c>
      <c r="P65" s="3">
        <v>6.9231999999999996</v>
      </c>
      <c r="Q65" s="3">
        <v>8.1425999999999998</v>
      </c>
      <c r="R65" s="3">
        <v>5.2214</v>
      </c>
      <c r="S65" s="3">
        <v>6.5495000000000001</v>
      </c>
    </row>
    <row r="68" spans="2:19" x14ac:dyDescent="0.3">
      <c r="B68" s="7" t="s">
        <v>32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2:19" ht="28.8" x14ac:dyDescent="0.3">
      <c r="B69" s="1" t="s">
        <v>0</v>
      </c>
      <c r="C69" s="2" t="s">
        <v>13</v>
      </c>
      <c r="D69" s="2" t="s">
        <v>14</v>
      </c>
      <c r="E69" s="2" t="s">
        <v>15</v>
      </c>
      <c r="F69" s="2" t="s">
        <v>16</v>
      </c>
      <c r="G69" s="2" t="s">
        <v>17</v>
      </c>
      <c r="H69" s="2" t="s">
        <v>18</v>
      </c>
      <c r="I69" s="2" t="s">
        <v>19</v>
      </c>
      <c r="J69" s="2" t="s">
        <v>20</v>
      </c>
      <c r="K69" s="2" t="s">
        <v>21</v>
      </c>
      <c r="L69" s="2" t="s">
        <v>23</v>
      </c>
      <c r="M69" s="2" t="s">
        <v>22</v>
      </c>
      <c r="N69" s="1" t="s">
        <v>11</v>
      </c>
      <c r="O69" s="1" t="s">
        <v>12</v>
      </c>
      <c r="P69" s="1" t="s">
        <v>35</v>
      </c>
      <c r="Q69" s="1" t="s">
        <v>36</v>
      </c>
      <c r="R69" s="1" t="s">
        <v>37</v>
      </c>
      <c r="S69" s="1" t="s">
        <v>38</v>
      </c>
    </row>
    <row r="70" spans="2:19" x14ac:dyDescent="0.3">
      <c r="B70" s="1" t="s">
        <v>1</v>
      </c>
      <c r="C70" s="1">
        <v>11.45</v>
      </c>
      <c r="D70" s="1">
        <v>43.090200000000003</v>
      </c>
      <c r="E70" s="1">
        <v>-15.6836</v>
      </c>
      <c r="F70" s="1">
        <f>SQRT(D70^2+E70^2)</f>
        <v>45.855650088075301</v>
      </c>
      <c r="G70" s="1">
        <v>450</v>
      </c>
      <c r="H70" s="1">
        <f>F70</f>
        <v>45.855650088075301</v>
      </c>
      <c r="I70" s="1">
        <v>0</v>
      </c>
      <c r="J70" s="1">
        <v>0</v>
      </c>
      <c r="K70" s="1">
        <f>G70</f>
        <v>450</v>
      </c>
      <c r="L70" s="1">
        <v>40</v>
      </c>
      <c r="M70" s="4">
        <v>1</v>
      </c>
      <c r="N70" s="4">
        <v>2.4300000000000002</v>
      </c>
      <c r="O70" s="4">
        <v>2</v>
      </c>
      <c r="P70" s="1">
        <v>7.2808000000000002</v>
      </c>
      <c r="Q70" s="1">
        <v>8.4441000000000006</v>
      </c>
      <c r="R70" s="1">
        <v>5.2686000000000002</v>
      </c>
      <c r="S70" s="1">
        <v>6.8685999999999998</v>
      </c>
    </row>
    <row r="71" spans="2:19" x14ac:dyDescent="0.3">
      <c r="B71" s="1" t="s">
        <v>2</v>
      </c>
      <c r="C71" s="1">
        <v>19.73</v>
      </c>
      <c r="D71" s="1">
        <v>74.250699999999995</v>
      </c>
      <c r="E71" s="1">
        <v>-27.024999999999999</v>
      </c>
      <c r="F71" s="1">
        <f t="shared" ref="F71:F74" si="14">SQRT(D71^2+E71^2)</f>
        <v>79.015929251575585</v>
      </c>
      <c r="G71" s="1">
        <v>450</v>
      </c>
      <c r="H71" s="1">
        <f t="shared" ref="H71:H78" si="15">F71</f>
        <v>79.015929251575585</v>
      </c>
      <c r="I71" s="1">
        <v>0</v>
      </c>
      <c r="J71" s="1">
        <v>0</v>
      </c>
      <c r="K71" s="1">
        <f t="shared" ref="K71:K87" si="16">G71</f>
        <v>450</v>
      </c>
      <c r="L71" s="1">
        <v>47</v>
      </c>
      <c r="M71" s="4">
        <v>0.15</v>
      </c>
      <c r="N71" s="4">
        <v>5.4</v>
      </c>
      <c r="O71" s="4">
        <v>3.15</v>
      </c>
      <c r="P71" s="1">
        <v>5.8609999999999998</v>
      </c>
      <c r="Q71" s="1">
        <v>7.2641</v>
      </c>
      <c r="R71" s="1">
        <v>5.4302000000000001</v>
      </c>
      <c r="S71" s="1">
        <v>5.6231</v>
      </c>
    </row>
    <row r="72" spans="2:19" x14ac:dyDescent="0.3">
      <c r="B72" s="1" t="s">
        <v>3</v>
      </c>
      <c r="C72" s="1">
        <v>38.229999999999997</v>
      </c>
      <c r="D72" s="1">
        <v>143.8725</v>
      </c>
      <c r="E72" s="1">
        <v>-52.365299999999998</v>
      </c>
      <c r="F72" s="1">
        <f t="shared" si="14"/>
        <v>153.10591399531239</v>
      </c>
      <c r="G72" s="1">
        <v>450</v>
      </c>
      <c r="H72" s="1">
        <f t="shared" si="15"/>
        <v>153.10591399531239</v>
      </c>
      <c r="I72" s="1">
        <v>0</v>
      </c>
      <c r="J72" s="1">
        <v>0</v>
      </c>
      <c r="K72" s="1">
        <f t="shared" si="16"/>
        <v>450</v>
      </c>
      <c r="L72" s="1">
        <v>50</v>
      </c>
      <c r="M72" s="4">
        <v>0.9</v>
      </c>
      <c r="N72" s="4">
        <v>2.25</v>
      </c>
      <c r="O72" s="4">
        <v>3.15</v>
      </c>
      <c r="P72" s="1">
        <v>6.9477000000000002</v>
      </c>
      <c r="Q72" s="1">
        <v>8.5481999999999996</v>
      </c>
      <c r="R72" s="1">
        <v>6.1871999999999998</v>
      </c>
      <c r="S72" s="1">
        <v>6.6468999999999996</v>
      </c>
    </row>
    <row r="73" spans="2:19" x14ac:dyDescent="0.3">
      <c r="B73" s="1" t="s">
        <v>6</v>
      </c>
      <c r="C73" s="1">
        <v>55.65</v>
      </c>
      <c r="D73" s="1">
        <v>209.4299</v>
      </c>
      <c r="E73" s="1">
        <v>-76.226200000000006</v>
      </c>
      <c r="F73" s="1">
        <f t="shared" si="14"/>
        <v>222.87062745110671</v>
      </c>
      <c r="G73" s="1">
        <v>450</v>
      </c>
      <c r="H73" s="1">
        <f t="shared" si="15"/>
        <v>222.87062745110671</v>
      </c>
      <c r="I73" s="1">
        <v>0</v>
      </c>
      <c r="J73" s="1">
        <v>0</v>
      </c>
      <c r="K73" s="1">
        <f t="shared" si="16"/>
        <v>450</v>
      </c>
      <c r="L73" s="1">
        <v>50</v>
      </c>
      <c r="M73" s="4">
        <v>1.5</v>
      </c>
      <c r="N73" s="4">
        <v>2.15</v>
      </c>
      <c r="O73" s="4">
        <v>1.5</v>
      </c>
      <c r="P73" s="1">
        <v>7.4203999999999999</v>
      </c>
      <c r="Q73" s="1">
        <v>9.0792999999999999</v>
      </c>
      <c r="R73" s="1">
        <v>8.2241</v>
      </c>
      <c r="S73" s="1">
        <v>7.2466999999999997</v>
      </c>
    </row>
    <row r="74" spans="2:19" x14ac:dyDescent="0.3">
      <c r="B74" s="1" t="s">
        <v>2</v>
      </c>
      <c r="C74" s="1">
        <v>78.58</v>
      </c>
      <c r="D74" s="1">
        <v>295.72329999999999</v>
      </c>
      <c r="E74" s="1">
        <v>-107.6345</v>
      </c>
      <c r="F74" s="1">
        <f t="shared" si="14"/>
        <v>314.70216992124472</v>
      </c>
      <c r="G74" s="1">
        <v>450</v>
      </c>
      <c r="H74" s="1">
        <f t="shared" si="15"/>
        <v>314.70216992124472</v>
      </c>
      <c r="I74" s="1">
        <v>0</v>
      </c>
      <c r="J74" s="1">
        <v>0</v>
      </c>
      <c r="K74" s="1">
        <f t="shared" si="16"/>
        <v>450</v>
      </c>
      <c r="L74" s="1">
        <v>52</v>
      </c>
      <c r="M74" s="4">
        <v>0.18</v>
      </c>
      <c r="N74" s="4">
        <v>5.0999999999999996</v>
      </c>
      <c r="O74" s="4">
        <v>3</v>
      </c>
      <c r="P74" s="1">
        <v>3.2233000000000001</v>
      </c>
      <c r="Q74" s="1">
        <v>3.7837999999999998</v>
      </c>
      <c r="R74" s="1">
        <v>3.6187</v>
      </c>
      <c r="S74" s="1">
        <v>3.1705999999999999</v>
      </c>
    </row>
    <row r="75" spans="2:19" x14ac:dyDescent="0.3">
      <c r="B75" s="1" t="s">
        <v>4</v>
      </c>
      <c r="C75" s="1">
        <v>97.08</v>
      </c>
      <c r="D75" s="1">
        <v>365.3451</v>
      </c>
      <c r="E75" s="1">
        <v>-132.97470000000001</v>
      </c>
      <c r="F75" s="1">
        <f>SQRT(D75^2+E75^2)</f>
        <v>388.7921204629796</v>
      </c>
      <c r="G75" s="1">
        <v>450</v>
      </c>
      <c r="H75" s="1">
        <f t="shared" si="15"/>
        <v>388.7921204629796</v>
      </c>
      <c r="I75" s="1">
        <v>0</v>
      </c>
      <c r="J75" s="1">
        <v>0</v>
      </c>
      <c r="K75" s="1">
        <f t="shared" si="16"/>
        <v>450</v>
      </c>
      <c r="L75" s="1">
        <v>55</v>
      </c>
      <c r="M75" s="4">
        <v>0.9</v>
      </c>
      <c r="N75" s="4">
        <v>2.35</v>
      </c>
      <c r="O75" s="4">
        <v>3.2</v>
      </c>
      <c r="P75" s="1">
        <v>5.0949999999999998</v>
      </c>
      <c r="Q75" s="1">
        <v>6.266</v>
      </c>
      <c r="R75" s="1">
        <v>5.6087999999999996</v>
      </c>
      <c r="S75" s="1">
        <v>4.9692999999999996</v>
      </c>
    </row>
    <row r="76" spans="2:19" x14ac:dyDescent="0.3">
      <c r="B76" s="1" t="s">
        <v>24</v>
      </c>
      <c r="C76" s="1">
        <v>116.5</v>
      </c>
      <c r="D76" s="1">
        <v>438.42910000000001</v>
      </c>
      <c r="E76" s="1">
        <v>-159.5752</v>
      </c>
      <c r="F76" s="1">
        <f>SQRT(D76^2+E76^2)</f>
        <v>466.5665227830325</v>
      </c>
      <c r="G76" s="1">
        <v>450</v>
      </c>
      <c r="H76" s="1">
        <f t="shared" si="15"/>
        <v>466.5665227830325</v>
      </c>
      <c r="I76" s="1">
        <v>0</v>
      </c>
      <c r="J76" s="1">
        <v>0</v>
      </c>
      <c r="K76" s="1">
        <f t="shared" si="16"/>
        <v>450</v>
      </c>
      <c r="L76" s="1">
        <v>55</v>
      </c>
      <c r="M76" s="4">
        <v>1.5</v>
      </c>
      <c r="N76" s="4">
        <v>2.1</v>
      </c>
      <c r="O76" s="4">
        <v>1.45</v>
      </c>
      <c r="P76" s="1">
        <v>5.5807000000000002</v>
      </c>
      <c r="Q76" s="1">
        <v>6.3769</v>
      </c>
      <c r="R76" s="1">
        <v>6.2096</v>
      </c>
      <c r="S76" s="1">
        <v>5.5084</v>
      </c>
    </row>
    <row r="77" spans="2:19" x14ac:dyDescent="0.3">
      <c r="B77" s="1" t="s">
        <v>5</v>
      </c>
      <c r="C77" s="1">
        <v>134</v>
      </c>
      <c r="D77" s="1">
        <v>504.2876</v>
      </c>
      <c r="E77" s="1">
        <v>-183.54570000000001</v>
      </c>
      <c r="F77" s="1">
        <f>SQRT(D77^2+E77^2)</f>
        <v>536.65166309464655</v>
      </c>
      <c r="G77" s="1">
        <v>450</v>
      </c>
      <c r="H77" s="1">
        <f t="shared" si="15"/>
        <v>536.65166309464655</v>
      </c>
      <c r="I77" s="1">
        <v>0</v>
      </c>
      <c r="J77" s="1">
        <v>0</v>
      </c>
      <c r="K77" s="1">
        <f t="shared" si="16"/>
        <v>450</v>
      </c>
      <c r="L77" s="1">
        <v>60</v>
      </c>
      <c r="M77" s="4">
        <v>0.9</v>
      </c>
      <c r="N77" s="4">
        <v>2.4</v>
      </c>
      <c r="O77" s="4">
        <v>3.27</v>
      </c>
      <c r="P77" s="8">
        <v>5.0524052437162501</v>
      </c>
      <c r="Q77" s="8">
        <v>6.0528021371153597</v>
      </c>
      <c r="R77" s="8">
        <v>5.6709091111921701</v>
      </c>
      <c r="S77" s="8">
        <v>4.9545961320855803</v>
      </c>
    </row>
    <row r="78" spans="2:19" x14ac:dyDescent="0.3">
      <c r="B78" s="1" t="s">
        <v>7</v>
      </c>
      <c r="C78" s="1">
        <v>151.5</v>
      </c>
      <c r="D78" s="1">
        <v>570.14599999999996</v>
      </c>
      <c r="E78" s="1">
        <v>-207.5162</v>
      </c>
      <c r="F78" s="1">
        <f>SQRT(D78^2+E78^2)</f>
        <v>606.7367094370012</v>
      </c>
      <c r="G78" s="1">
        <v>450</v>
      </c>
      <c r="H78" s="1">
        <f t="shared" si="15"/>
        <v>606.7367094370012</v>
      </c>
      <c r="I78" s="1">
        <v>0</v>
      </c>
      <c r="J78" s="1">
        <v>0</v>
      </c>
      <c r="K78" s="1">
        <f t="shared" si="16"/>
        <v>450</v>
      </c>
      <c r="L78" s="1">
        <v>60</v>
      </c>
      <c r="M78" s="4">
        <v>1.5</v>
      </c>
      <c r="N78" s="4">
        <v>2.08</v>
      </c>
      <c r="O78" s="4">
        <v>1.42</v>
      </c>
      <c r="P78" s="1">
        <v>5.7630999999999997</v>
      </c>
      <c r="Q78" s="1">
        <v>6.4195000000000002</v>
      </c>
      <c r="R78" s="1">
        <v>6.3212000000000002</v>
      </c>
      <c r="S78" s="1">
        <v>5.7047999999999996</v>
      </c>
    </row>
    <row r="79" spans="2:19" x14ac:dyDescent="0.3">
      <c r="B79" s="1" t="s">
        <v>25</v>
      </c>
      <c r="C79" s="1">
        <v>175.5</v>
      </c>
      <c r="D79" s="1">
        <v>660.46619999999996</v>
      </c>
      <c r="E79" s="1">
        <v>-240.39</v>
      </c>
      <c r="F79" s="1">
        <f t="shared" ref="F79:F87" si="17">SQRT(D79^2+E79^2)</f>
        <v>702.85343667256825</v>
      </c>
      <c r="G79" s="1">
        <v>450</v>
      </c>
      <c r="H79" s="1">
        <f>F79</f>
        <v>702.85343667256825</v>
      </c>
      <c r="I79" s="1">
        <v>0</v>
      </c>
      <c r="J79" s="1">
        <v>0</v>
      </c>
      <c r="K79" s="1">
        <f t="shared" si="16"/>
        <v>450</v>
      </c>
      <c r="L79" s="1">
        <v>60</v>
      </c>
      <c r="M79" s="4">
        <v>1.5</v>
      </c>
      <c r="N79" s="4">
        <v>2.08</v>
      </c>
      <c r="O79" s="4">
        <v>1.42</v>
      </c>
      <c r="P79" s="1">
        <v>5.0564</v>
      </c>
      <c r="Q79" s="1">
        <v>5.5656999999999996</v>
      </c>
      <c r="R79" s="1">
        <v>5.5014000000000003</v>
      </c>
      <c r="S79" s="1">
        <v>5.0114000000000001</v>
      </c>
    </row>
    <row r="80" spans="2:19" x14ac:dyDescent="0.3">
      <c r="B80" s="1" t="s">
        <v>8</v>
      </c>
      <c r="C80" s="1">
        <v>193</v>
      </c>
      <c r="D80" s="1">
        <v>726.32470000000001</v>
      </c>
      <c r="E80" s="1">
        <v>-264.36059999999998</v>
      </c>
      <c r="F80" s="1">
        <f t="shared" si="17"/>
        <v>772.93861118619895</v>
      </c>
      <c r="G80" s="1">
        <v>450</v>
      </c>
      <c r="H80" s="1">
        <f t="shared" ref="H80:H87" si="18">F80</f>
        <v>772.93861118619895</v>
      </c>
      <c r="I80" s="1">
        <v>0</v>
      </c>
      <c r="J80" s="1">
        <v>0</v>
      </c>
      <c r="K80" s="1">
        <f t="shared" si="16"/>
        <v>450</v>
      </c>
      <c r="L80" s="1">
        <v>60</v>
      </c>
      <c r="M80" s="4">
        <v>0.9</v>
      </c>
      <c r="N80" s="4">
        <v>2.4</v>
      </c>
      <c r="O80" s="4">
        <v>3.27</v>
      </c>
      <c r="P80" s="1">
        <v>3.7694999999999999</v>
      </c>
      <c r="Q80" s="1">
        <v>4.3636999999999997</v>
      </c>
      <c r="R80" s="1">
        <v>4.2165999999999997</v>
      </c>
      <c r="S80" s="1">
        <v>3.7147999999999999</v>
      </c>
    </row>
    <row r="81" spans="2:19" x14ac:dyDescent="0.3">
      <c r="B81" s="1" t="s">
        <v>26</v>
      </c>
      <c r="C81" s="1">
        <v>210.5</v>
      </c>
      <c r="D81" s="1">
        <v>631.46879999999999</v>
      </c>
      <c r="E81" s="1">
        <v>-229.83590000000001</v>
      </c>
      <c r="F81" s="1">
        <f t="shared" si="17"/>
        <v>671.99507907591851</v>
      </c>
      <c r="G81" s="1">
        <v>450</v>
      </c>
      <c r="H81" s="1">
        <f t="shared" si="18"/>
        <v>671.99507907591851</v>
      </c>
      <c r="I81" s="1">
        <v>0</v>
      </c>
      <c r="J81" s="1">
        <v>0</v>
      </c>
      <c r="K81" s="1">
        <f t="shared" si="16"/>
        <v>450</v>
      </c>
      <c r="L81" s="1">
        <v>55</v>
      </c>
      <c r="M81" s="4">
        <v>1.5</v>
      </c>
      <c r="N81" s="4">
        <v>2.1</v>
      </c>
      <c r="O81" s="4">
        <v>1.45</v>
      </c>
      <c r="P81" s="1">
        <v>4.0620000000000003</v>
      </c>
      <c r="Q81" s="1">
        <v>4.4957000000000003</v>
      </c>
      <c r="R81" s="1">
        <v>4.4363999999999999</v>
      </c>
      <c r="S81" s="1">
        <v>4.0236000000000001</v>
      </c>
    </row>
    <row r="82" spans="2:19" x14ac:dyDescent="0.3">
      <c r="B82" s="1" t="s">
        <v>9</v>
      </c>
      <c r="C82" s="1">
        <v>229.93</v>
      </c>
      <c r="D82" s="1">
        <v>526.15179999999998</v>
      </c>
      <c r="E82" s="1">
        <v>-191.50360000000001</v>
      </c>
      <c r="F82" s="1">
        <f t="shared" si="17"/>
        <v>559.91905259260466</v>
      </c>
      <c r="G82" s="1">
        <v>450</v>
      </c>
      <c r="H82" s="1">
        <f t="shared" si="18"/>
        <v>559.91905259260466</v>
      </c>
      <c r="I82" s="1">
        <v>0</v>
      </c>
      <c r="J82" s="1">
        <v>0</v>
      </c>
      <c r="K82" s="1">
        <f t="shared" si="16"/>
        <v>450</v>
      </c>
      <c r="L82" s="1">
        <v>55</v>
      </c>
      <c r="M82" s="4">
        <v>0.9</v>
      </c>
      <c r="N82" s="4">
        <v>2.35</v>
      </c>
      <c r="O82" s="4">
        <v>3.2</v>
      </c>
      <c r="P82" s="1">
        <v>3.8833000000000002</v>
      </c>
      <c r="Q82" s="1">
        <v>4.6397000000000004</v>
      </c>
      <c r="R82" s="1">
        <v>4.3609</v>
      </c>
      <c r="S82" s="1">
        <v>3.8098000000000001</v>
      </c>
    </row>
    <row r="83" spans="2:19" x14ac:dyDescent="0.3">
      <c r="B83" s="1" t="s">
        <v>2</v>
      </c>
      <c r="C83" s="1">
        <v>248.43</v>
      </c>
      <c r="D83" s="1">
        <v>425.87560000000002</v>
      </c>
      <c r="E83" s="1">
        <v>-155.006</v>
      </c>
      <c r="F83" s="1">
        <f t="shared" si="17"/>
        <v>453.20733302911151</v>
      </c>
      <c r="G83" s="1">
        <v>450</v>
      </c>
      <c r="H83" s="1">
        <f t="shared" si="18"/>
        <v>453.20733302911151</v>
      </c>
      <c r="I83" s="1">
        <v>0</v>
      </c>
      <c r="J83" s="1">
        <v>0</v>
      </c>
      <c r="K83" s="1">
        <f t="shared" si="16"/>
        <v>450</v>
      </c>
      <c r="L83" s="1">
        <v>52</v>
      </c>
      <c r="M83" s="4">
        <v>0.18</v>
      </c>
      <c r="N83" s="4">
        <v>5.0999999999999996</v>
      </c>
      <c r="O83" s="4">
        <v>3</v>
      </c>
      <c r="P83" s="1">
        <v>2.3769</v>
      </c>
      <c r="Q83" s="1">
        <v>2.6959</v>
      </c>
      <c r="R83" s="1">
        <v>2.6349999999999998</v>
      </c>
      <c r="S83" s="1">
        <v>2.3481999999999998</v>
      </c>
    </row>
    <row r="84" spans="2:19" x14ac:dyDescent="0.3">
      <c r="B84" s="1" t="s">
        <v>27</v>
      </c>
      <c r="C84" s="1">
        <v>271.35000000000002</v>
      </c>
      <c r="D84" s="1">
        <v>301.64150000000001</v>
      </c>
      <c r="E84" s="1">
        <v>-109.7885</v>
      </c>
      <c r="F84" s="1">
        <f t="shared" si="17"/>
        <v>321.00017017830379</v>
      </c>
      <c r="G84" s="1">
        <v>450</v>
      </c>
      <c r="H84" s="1">
        <f t="shared" si="18"/>
        <v>321.00017017830379</v>
      </c>
      <c r="I84" s="1">
        <v>0</v>
      </c>
      <c r="J84" s="1">
        <v>0</v>
      </c>
      <c r="K84" s="1">
        <f t="shared" si="16"/>
        <v>450</v>
      </c>
      <c r="L84" s="1">
        <v>50</v>
      </c>
      <c r="M84" s="4">
        <v>1.5</v>
      </c>
      <c r="N84" s="4">
        <v>2.15</v>
      </c>
      <c r="O84" s="4">
        <v>1.5</v>
      </c>
      <c r="P84" s="1">
        <v>5.6262999999999996</v>
      </c>
      <c r="Q84" s="1">
        <v>6.6757999999999997</v>
      </c>
      <c r="R84" s="1">
        <v>6.3220000000000001</v>
      </c>
      <c r="S84" s="1">
        <v>5.5258000000000003</v>
      </c>
    </row>
    <row r="85" spans="2:19" x14ac:dyDescent="0.3">
      <c r="B85" s="1" t="s">
        <v>10</v>
      </c>
      <c r="C85" s="1">
        <v>288.77999999999997</v>
      </c>
      <c r="D85" s="1">
        <v>207.1651</v>
      </c>
      <c r="E85" s="1">
        <v>-75.401899999999998</v>
      </c>
      <c r="F85" s="1">
        <f t="shared" si="17"/>
        <v>220.46048439940432</v>
      </c>
      <c r="G85" s="1">
        <v>450</v>
      </c>
      <c r="H85" s="1">
        <f t="shared" si="18"/>
        <v>220.46048439940432</v>
      </c>
      <c r="I85" s="1">
        <v>0</v>
      </c>
      <c r="J85" s="1">
        <v>0</v>
      </c>
      <c r="K85" s="1">
        <f t="shared" si="16"/>
        <v>450</v>
      </c>
      <c r="L85" s="1">
        <v>50</v>
      </c>
      <c r="M85" s="4">
        <v>0.9</v>
      </c>
      <c r="N85" s="4">
        <v>2.25</v>
      </c>
      <c r="O85" s="4">
        <v>3.2</v>
      </c>
      <c r="P85" s="1">
        <v>5.6993</v>
      </c>
      <c r="Q85" s="1">
        <v>7.1144999999999996</v>
      </c>
      <c r="R85" s="1">
        <v>5.5987999999999998</v>
      </c>
      <c r="S85" s="1">
        <v>5.4923000000000002</v>
      </c>
    </row>
    <row r="86" spans="2:19" x14ac:dyDescent="0.3">
      <c r="B86" s="1" t="s">
        <v>2</v>
      </c>
      <c r="C86" s="1">
        <v>307.27999999999997</v>
      </c>
      <c r="D86" s="1">
        <v>106.889</v>
      </c>
      <c r="E86" s="1">
        <v>-38.904400000000003</v>
      </c>
      <c r="F86" s="1">
        <f t="shared" si="17"/>
        <v>113.7488930071849</v>
      </c>
      <c r="G86" s="1">
        <v>450</v>
      </c>
      <c r="H86" s="1">
        <f t="shared" si="18"/>
        <v>113.7488930071849</v>
      </c>
      <c r="I86" s="1">
        <v>0</v>
      </c>
      <c r="J86" s="1">
        <v>0</v>
      </c>
      <c r="K86" s="1">
        <f t="shared" si="16"/>
        <v>450</v>
      </c>
      <c r="L86" s="1">
        <v>47</v>
      </c>
      <c r="M86" s="4">
        <v>0.15</v>
      </c>
      <c r="N86" s="4">
        <v>5.4</v>
      </c>
      <c r="O86" s="4">
        <v>3.15</v>
      </c>
      <c r="P86" s="1">
        <v>4.7816999999999998</v>
      </c>
      <c r="Q86" s="1">
        <v>5.9770000000000003</v>
      </c>
      <c r="R86" s="1">
        <v>4.8711000000000002</v>
      </c>
      <c r="S86" s="1">
        <v>4.6220999999999997</v>
      </c>
    </row>
    <row r="87" spans="2:19" x14ac:dyDescent="0.3">
      <c r="B87" s="3" t="s">
        <v>28</v>
      </c>
      <c r="C87" s="3">
        <v>315.55</v>
      </c>
      <c r="D87" s="3">
        <v>62.062800000000003</v>
      </c>
      <c r="E87" s="3">
        <v>-22.588999999999999</v>
      </c>
      <c r="F87" s="3">
        <f t="shared" si="17"/>
        <v>66.045848202896153</v>
      </c>
      <c r="G87" s="3">
        <v>450</v>
      </c>
      <c r="H87" s="3">
        <f t="shared" si="18"/>
        <v>66.045848202896153</v>
      </c>
      <c r="I87" s="3">
        <v>0</v>
      </c>
      <c r="J87" s="3">
        <v>0</v>
      </c>
      <c r="K87" s="3">
        <f t="shared" si="16"/>
        <v>450</v>
      </c>
      <c r="L87" s="3">
        <v>40</v>
      </c>
      <c r="M87" s="5">
        <v>1</v>
      </c>
      <c r="N87" s="5">
        <v>2.4300000000000002</v>
      </c>
      <c r="O87" s="5">
        <v>2</v>
      </c>
      <c r="P87" s="3">
        <v>6.4066999999999998</v>
      </c>
      <c r="Q87" s="3">
        <v>7.6764000000000001</v>
      </c>
      <c r="R87" s="3">
        <v>5.1318000000000001</v>
      </c>
      <c r="S87" s="3">
        <v>6.0853000000000002</v>
      </c>
    </row>
    <row r="90" spans="2:19" x14ac:dyDescent="0.3">
      <c r="B90" s="7" t="s">
        <v>33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2:19" ht="28.8" x14ac:dyDescent="0.3">
      <c r="B91" s="1" t="s">
        <v>0</v>
      </c>
      <c r="C91" s="2" t="s">
        <v>13</v>
      </c>
      <c r="D91" s="2" t="s">
        <v>14</v>
      </c>
      <c r="E91" s="2" t="s">
        <v>15</v>
      </c>
      <c r="F91" s="2" t="s">
        <v>16</v>
      </c>
      <c r="G91" s="2" t="s">
        <v>17</v>
      </c>
      <c r="H91" s="2" t="s">
        <v>18</v>
      </c>
      <c r="I91" s="2" t="s">
        <v>19</v>
      </c>
      <c r="J91" s="2" t="s">
        <v>20</v>
      </c>
      <c r="K91" s="2" t="s">
        <v>21</v>
      </c>
      <c r="L91" s="2" t="s">
        <v>23</v>
      </c>
      <c r="M91" s="2" t="s">
        <v>22</v>
      </c>
      <c r="N91" s="1" t="s">
        <v>11</v>
      </c>
      <c r="O91" s="1" t="s">
        <v>12</v>
      </c>
      <c r="P91" s="1" t="s">
        <v>35</v>
      </c>
      <c r="Q91" s="1" t="s">
        <v>36</v>
      </c>
      <c r="R91" s="1" t="s">
        <v>37</v>
      </c>
      <c r="S91" s="1" t="s">
        <v>38</v>
      </c>
    </row>
    <row r="92" spans="2:19" x14ac:dyDescent="0.3">
      <c r="B92" s="1" t="s">
        <v>1</v>
      </c>
      <c r="C92" s="1">
        <v>11.45</v>
      </c>
      <c r="D92" s="1">
        <v>26.485199999999999</v>
      </c>
      <c r="E92" s="1">
        <v>-9.6397999999999993</v>
      </c>
      <c r="F92" s="1">
        <f>SQRT(D92^2+E92^2)</f>
        <v>28.184952777679086</v>
      </c>
      <c r="G92" s="1">
        <v>450</v>
      </c>
      <c r="H92" s="1">
        <f>F92</f>
        <v>28.184952777679086</v>
      </c>
      <c r="I92" s="1">
        <v>0</v>
      </c>
      <c r="J92" s="1">
        <v>0</v>
      </c>
      <c r="K92" s="1">
        <f>G92</f>
        <v>450</v>
      </c>
      <c r="L92" s="1">
        <v>40</v>
      </c>
      <c r="M92" s="4">
        <v>1</v>
      </c>
      <c r="N92" s="4">
        <v>2.4300000000000002</v>
      </c>
      <c r="O92" s="4">
        <v>2</v>
      </c>
      <c r="P92" s="1">
        <v>8.2682000000000002</v>
      </c>
      <c r="Q92" s="1">
        <v>9.1942000000000004</v>
      </c>
      <c r="R92" s="1">
        <v>5.3529999999999998</v>
      </c>
      <c r="S92" s="1">
        <v>7.7407000000000004</v>
      </c>
    </row>
    <row r="93" spans="2:19" x14ac:dyDescent="0.3">
      <c r="B93" s="1" t="s">
        <v>2</v>
      </c>
      <c r="C93" s="1">
        <v>19.73</v>
      </c>
      <c r="D93" s="1">
        <v>45.637799999999999</v>
      </c>
      <c r="E93" s="1">
        <v>-16.610800000000001</v>
      </c>
      <c r="F93" s="1">
        <f t="shared" ref="F93:F96" si="19">SQRT(D93^2+E93^2)</f>
        <v>48.566732085657158</v>
      </c>
      <c r="G93" s="1">
        <v>450</v>
      </c>
      <c r="H93" s="1">
        <f t="shared" ref="H93:H100" si="20">F93</f>
        <v>48.566732085657158</v>
      </c>
      <c r="I93" s="1">
        <v>0</v>
      </c>
      <c r="J93" s="1">
        <v>0</v>
      </c>
      <c r="K93" s="1">
        <f t="shared" ref="K93:K109" si="21">G93</f>
        <v>450</v>
      </c>
      <c r="L93" s="1">
        <v>47</v>
      </c>
      <c r="M93" s="4">
        <v>0.15</v>
      </c>
      <c r="N93" s="4">
        <v>5.4</v>
      </c>
      <c r="O93" s="4">
        <v>3.15</v>
      </c>
      <c r="P93" s="1">
        <v>7.3068999999999997</v>
      </c>
      <c r="Q93" s="1">
        <v>8.7575000000000003</v>
      </c>
      <c r="R93" s="1">
        <v>5.8583999999999996</v>
      </c>
      <c r="S93" s="1">
        <v>6.9409000000000001</v>
      </c>
    </row>
    <row r="94" spans="2:19" x14ac:dyDescent="0.3">
      <c r="B94" s="1" t="s">
        <v>3</v>
      </c>
      <c r="C94" s="1">
        <v>38.229999999999997</v>
      </c>
      <c r="D94" s="1">
        <v>88.430499999999995</v>
      </c>
      <c r="E94" s="1">
        <v>-32.186100000000003</v>
      </c>
      <c r="F94" s="1">
        <f t="shared" si="19"/>
        <v>94.105782837506851</v>
      </c>
      <c r="G94" s="1">
        <v>450</v>
      </c>
      <c r="H94" s="1">
        <f t="shared" si="20"/>
        <v>94.105782837506851</v>
      </c>
      <c r="I94" s="1">
        <v>0</v>
      </c>
      <c r="J94" s="1">
        <v>0</v>
      </c>
      <c r="K94" s="1">
        <f t="shared" si="21"/>
        <v>450</v>
      </c>
      <c r="L94" s="1">
        <v>50</v>
      </c>
      <c r="M94" s="4">
        <v>0.9</v>
      </c>
      <c r="N94" s="4">
        <v>2.25</v>
      </c>
      <c r="O94" s="4">
        <v>3.15</v>
      </c>
      <c r="P94" s="1">
        <v>8.5233000000000008</v>
      </c>
      <c r="Q94" s="1">
        <v>10.095599999999999</v>
      </c>
      <c r="R94" s="1">
        <v>6.5716000000000001</v>
      </c>
      <c r="S94" s="1">
        <v>8.0752000000000006</v>
      </c>
    </row>
    <row r="95" spans="2:19" x14ac:dyDescent="0.3">
      <c r="B95" s="1" t="s">
        <v>6</v>
      </c>
      <c r="C95" s="1">
        <v>55.65</v>
      </c>
      <c r="D95" s="1">
        <v>128.72499999999999</v>
      </c>
      <c r="E95" s="1">
        <v>-46.8521</v>
      </c>
      <c r="F95" s="1">
        <f t="shared" si="19"/>
        <v>136.98629456777783</v>
      </c>
      <c r="G95" s="1">
        <v>450</v>
      </c>
      <c r="H95" s="1">
        <f t="shared" si="20"/>
        <v>136.98629456777783</v>
      </c>
      <c r="I95" s="1">
        <v>0</v>
      </c>
      <c r="J95" s="1">
        <v>0</v>
      </c>
      <c r="K95" s="1">
        <f t="shared" si="21"/>
        <v>450</v>
      </c>
      <c r="L95" s="1">
        <v>50</v>
      </c>
      <c r="M95" s="4">
        <v>1.5</v>
      </c>
      <c r="N95" s="4">
        <v>2.15</v>
      </c>
      <c r="O95" s="4">
        <v>1.5</v>
      </c>
      <c r="P95" s="1">
        <v>10.293200000000001</v>
      </c>
      <c r="Q95" s="1">
        <v>12.8614</v>
      </c>
      <c r="R95" s="1">
        <v>10.6252</v>
      </c>
      <c r="S95" s="1">
        <v>9.9618000000000002</v>
      </c>
    </row>
    <row r="96" spans="2:19" x14ac:dyDescent="0.3">
      <c r="B96" s="1" t="s">
        <v>2</v>
      </c>
      <c r="C96" s="1">
        <v>78.58</v>
      </c>
      <c r="D96" s="1">
        <v>181.76480000000001</v>
      </c>
      <c r="E96" s="1">
        <v>-66.156999999999996</v>
      </c>
      <c r="F96" s="1">
        <f t="shared" si="19"/>
        <v>193.43006790062398</v>
      </c>
      <c r="G96" s="1">
        <v>450</v>
      </c>
      <c r="H96" s="1">
        <f t="shared" si="20"/>
        <v>193.43006790062398</v>
      </c>
      <c r="I96" s="1">
        <v>0</v>
      </c>
      <c r="J96" s="1">
        <v>0</v>
      </c>
      <c r="K96" s="1">
        <f t="shared" si="21"/>
        <v>450</v>
      </c>
      <c r="L96" s="1">
        <v>52</v>
      </c>
      <c r="M96" s="4">
        <v>0.18</v>
      </c>
      <c r="N96" s="4">
        <v>5.0999999999999996</v>
      </c>
      <c r="O96" s="4">
        <v>3</v>
      </c>
      <c r="P96" s="1">
        <v>4.6835000000000004</v>
      </c>
      <c r="Q96" s="1">
        <v>5.7339000000000002</v>
      </c>
      <c r="R96" s="1">
        <v>5.1871999999999998</v>
      </c>
      <c r="S96" s="1">
        <v>4.5731999999999999</v>
      </c>
    </row>
    <row r="97" spans="2:19" x14ac:dyDescent="0.3">
      <c r="B97" s="1" t="s">
        <v>4</v>
      </c>
      <c r="C97" s="1">
        <v>97.08</v>
      </c>
      <c r="D97" s="1">
        <v>224.5575</v>
      </c>
      <c r="E97" s="1">
        <v>-81.732200000000006</v>
      </c>
      <c r="F97" s="1">
        <f>SQRT(D97^2+E97^2)</f>
        <v>238.96908445045776</v>
      </c>
      <c r="G97" s="1">
        <v>450</v>
      </c>
      <c r="H97" s="1">
        <f t="shared" si="20"/>
        <v>238.96908445045776</v>
      </c>
      <c r="I97" s="1">
        <v>0</v>
      </c>
      <c r="J97" s="1">
        <v>0</v>
      </c>
      <c r="K97" s="1">
        <f t="shared" si="21"/>
        <v>450</v>
      </c>
      <c r="L97" s="1">
        <v>55</v>
      </c>
      <c r="M97" s="4">
        <v>0.9</v>
      </c>
      <c r="N97" s="4">
        <v>2.35</v>
      </c>
      <c r="O97" s="4">
        <v>3.2</v>
      </c>
      <c r="P97" s="1">
        <v>7.0102000000000002</v>
      </c>
      <c r="Q97" s="1">
        <v>8.7627000000000006</v>
      </c>
      <c r="R97" s="1">
        <v>7.1172000000000004</v>
      </c>
      <c r="S97" s="1">
        <v>6.7743000000000002</v>
      </c>
    </row>
    <row r="98" spans="2:19" x14ac:dyDescent="0.3">
      <c r="B98" s="1" t="s">
        <v>24</v>
      </c>
      <c r="C98" s="1">
        <v>116.5</v>
      </c>
      <c r="D98" s="1">
        <v>269.47829999999999</v>
      </c>
      <c r="E98" s="1">
        <v>-98.082099999999997</v>
      </c>
      <c r="F98" s="1">
        <f>SQRT(D98^2+E98^2)</f>
        <v>286.77282387161443</v>
      </c>
      <c r="G98" s="1">
        <v>450</v>
      </c>
      <c r="H98" s="1">
        <f t="shared" si="20"/>
        <v>286.77282387161443</v>
      </c>
      <c r="I98" s="1">
        <v>0</v>
      </c>
      <c r="J98" s="1">
        <v>0</v>
      </c>
      <c r="K98" s="1">
        <f t="shared" si="21"/>
        <v>450</v>
      </c>
      <c r="L98" s="1">
        <v>55</v>
      </c>
      <c r="M98" s="4">
        <v>1.5</v>
      </c>
      <c r="N98" s="4">
        <v>2.1</v>
      </c>
      <c r="O98" s="4">
        <v>1.45</v>
      </c>
      <c r="P98" s="1">
        <v>8.2948000000000004</v>
      </c>
      <c r="Q98" s="1">
        <v>9.9231999999999996</v>
      </c>
      <c r="R98" s="1">
        <v>9.3130000000000006</v>
      </c>
      <c r="S98" s="1">
        <v>8.1362000000000005</v>
      </c>
    </row>
    <row r="99" spans="2:19" x14ac:dyDescent="0.3">
      <c r="B99" s="1" t="s">
        <v>5</v>
      </c>
      <c r="C99" s="1">
        <v>134</v>
      </c>
      <c r="D99" s="1">
        <v>309.95780000000002</v>
      </c>
      <c r="E99" s="1">
        <v>-112.8154</v>
      </c>
      <c r="F99" s="1">
        <f>SQRT(D99^2+E99^2)</f>
        <v>329.85019669237732</v>
      </c>
      <c r="G99" s="1">
        <v>450</v>
      </c>
      <c r="H99" s="1">
        <f t="shared" si="20"/>
        <v>329.85019669237732</v>
      </c>
      <c r="I99" s="1">
        <v>0</v>
      </c>
      <c r="J99" s="1">
        <v>0</v>
      </c>
      <c r="K99" s="1">
        <f t="shared" si="21"/>
        <v>450</v>
      </c>
      <c r="L99" s="1">
        <v>60</v>
      </c>
      <c r="M99" s="4">
        <v>0.9</v>
      </c>
      <c r="N99" s="4">
        <v>2.4</v>
      </c>
      <c r="O99" s="4">
        <v>3.27</v>
      </c>
      <c r="P99" s="8">
        <v>7.1958345060661397</v>
      </c>
      <c r="Q99" s="8">
        <v>8.9242651971527192</v>
      </c>
      <c r="R99" s="8">
        <v>7.7775773679339197</v>
      </c>
      <c r="S99" s="8">
        <v>6.9990490129856102</v>
      </c>
    </row>
    <row r="100" spans="2:19" x14ac:dyDescent="0.3">
      <c r="B100" s="1" t="s">
        <v>7</v>
      </c>
      <c r="C100" s="1">
        <v>151.5</v>
      </c>
      <c r="D100" s="1">
        <v>350.43740000000003</v>
      </c>
      <c r="E100" s="1">
        <v>-127.5488</v>
      </c>
      <c r="F100" s="1">
        <f>SQRT(D100^2+E100^2)</f>
        <v>372.92769768441713</v>
      </c>
      <c r="G100" s="1">
        <v>450</v>
      </c>
      <c r="H100" s="1">
        <f t="shared" si="20"/>
        <v>372.92769768441713</v>
      </c>
      <c r="I100" s="1">
        <v>0</v>
      </c>
      <c r="J100" s="1">
        <v>0</v>
      </c>
      <c r="K100" s="1">
        <f t="shared" si="21"/>
        <v>450</v>
      </c>
      <c r="L100" s="1">
        <v>60</v>
      </c>
      <c r="M100" s="4">
        <v>1.5</v>
      </c>
      <c r="N100" s="4">
        <v>2.08</v>
      </c>
      <c r="O100" s="4">
        <v>1.42</v>
      </c>
      <c r="P100" s="1">
        <v>8.7322000000000006</v>
      </c>
      <c r="Q100" s="1">
        <v>10.168699999999999</v>
      </c>
      <c r="R100" s="1">
        <v>9.7858000000000001</v>
      </c>
      <c r="S100" s="1">
        <v>8.5989000000000004</v>
      </c>
    </row>
    <row r="101" spans="2:19" x14ac:dyDescent="0.3">
      <c r="B101" s="1" t="s">
        <v>25</v>
      </c>
      <c r="C101" s="1">
        <v>175.5</v>
      </c>
      <c r="D101" s="1">
        <v>405.9522</v>
      </c>
      <c r="E101" s="1">
        <v>-147.75450000000001</v>
      </c>
      <c r="F101" s="1">
        <f t="shared" ref="F101:F109" si="22">SQRT(D101^2+E101^2)</f>
        <v>432.00530199881808</v>
      </c>
      <c r="G101" s="1">
        <v>450</v>
      </c>
      <c r="H101" s="1">
        <f>F101</f>
        <v>432.00530199881808</v>
      </c>
      <c r="I101" s="1">
        <v>0</v>
      </c>
      <c r="J101" s="1">
        <v>0</v>
      </c>
      <c r="K101" s="1">
        <f t="shared" si="21"/>
        <v>450</v>
      </c>
      <c r="L101" s="1">
        <v>60</v>
      </c>
      <c r="M101" s="4">
        <v>1.5</v>
      </c>
      <c r="N101" s="4">
        <v>2.08</v>
      </c>
      <c r="O101" s="4">
        <v>1.42</v>
      </c>
      <c r="P101" s="1">
        <v>7.7263999999999999</v>
      </c>
      <c r="Q101" s="1">
        <v>8.8725000000000005</v>
      </c>
      <c r="R101" s="1">
        <v>8.6160999999999994</v>
      </c>
      <c r="S101" s="1">
        <v>7.6219000000000001</v>
      </c>
    </row>
    <row r="102" spans="2:19" x14ac:dyDescent="0.3">
      <c r="B102" s="1" t="s">
        <v>8</v>
      </c>
      <c r="C102" s="1">
        <v>193</v>
      </c>
      <c r="D102" s="1">
        <v>446.43180000000001</v>
      </c>
      <c r="E102" s="1">
        <v>-162.4879</v>
      </c>
      <c r="F102" s="1">
        <f t="shared" si="22"/>
        <v>475.0828029908576</v>
      </c>
      <c r="G102" s="1">
        <v>450</v>
      </c>
      <c r="H102" s="1">
        <f t="shared" ref="H102:H109" si="23">F102</f>
        <v>475.0828029908576</v>
      </c>
      <c r="I102" s="1">
        <v>0</v>
      </c>
      <c r="J102" s="1">
        <v>0</v>
      </c>
      <c r="K102" s="1">
        <f t="shared" si="21"/>
        <v>450</v>
      </c>
      <c r="L102" s="1">
        <v>60</v>
      </c>
      <c r="M102" s="4">
        <v>0.9</v>
      </c>
      <c r="N102" s="4">
        <v>2.4</v>
      </c>
      <c r="O102" s="4">
        <v>3.27</v>
      </c>
      <c r="P102" s="1">
        <v>5.5441000000000003</v>
      </c>
      <c r="Q102" s="1">
        <v>6.7118000000000002</v>
      </c>
      <c r="R102" s="1">
        <v>6.1978999999999997</v>
      </c>
      <c r="S102" s="1">
        <v>5.4264999999999999</v>
      </c>
    </row>
    <row r="103" spans="2:19" x14ac:dyDescent="0.3">
      <c r="B103" s="1" t="s">
        <v>26</v>
      </c>
      <c r="C103" s="1">
        <v>210.5</v>
      </c>
      <c r="D103" s="1">
        <v>486.91140000000001</v>
      </c>
      <c r="E103" s="1">
        <v>-177.22120000000001</v>
      </c>
      <c r="F103" s="1">
        <f t="shared" si="22"/>
        <v>518.16026978088553</v>
      </c>
      <c r="G103" s="1">
        <v>450</v>
      </c>
      <c r="H103" s="1">
        <f t="shared" si="23"/>
        <v>518.16026978088553</v>
      </c>
      <c r="I103" s="1">
        <v>0</v>
      </c>
      <c r="J103" s="1">
        <v>0</v>
      </c>
      <c r="K103" s="1">
        <f t="shared" si="21"/>
        <v>450</v>
      </c>
      <c r="L103" s="1">
        <v>55</v>
      </c>
      <c r="M103" s="4">
        <v>1.5</v>
      </c>
      <c r="N103" s="4">
        <v>2.1</v>
      </c>
      <c r="O103" s="4">
        <v>1.45</v>
      </c>
      <c r="P103" s="1">
        <v>5.1016000000000004</v>
      </c>
      <c r="Q103" s="1">
        <v>5.7736999999999998</v>
      </c>
      <c r="R103" s="1">
        <v>5.6489000000000003</v>
      </c>
      <c r="S103" s="1">
        <v>5.0411999999999999</v>
      </c>
    </row>
    <row r="104" spans="2:19" x14ac:dyDescent="0.3">
      <c r="B104" s="1" t="s">
        <v>9</v>
      </c>
      <c r="C104" s="1">
        <v>229.93</v>
      </c>
      <c r="D104" s="1">
        <v>531.85519999999997</v>
      </c>
      <c r="E104" s="1">
        <v>-193.5795</v>
      </c>
      <c r="F104" s="1">
        <f t="shared" si="22"/>
        <v>565.98849510152593</v>
      </c>
      <c r="G104" s="1">
        <v>450</v>
      </c>
      <c r="H104" s="1">
        <f t="shared" si="23"/>
        <v>565.98849510152593</v>
      </c>
      <c r="I104" s="1">
        <v>0</v>
      </c>
      <c r="J104" s="1">
        <v>0</v>
      </c>
      <c r="K104" s="1">
        <f t="shared" si="21"/>
        <v>450</v>
      </c>
      <c r="L104" s="1">
        <v>55</v>
      </c>
      <c r="M104" s="4">
        <v>0.9</v>
      </c>
      <c r="N104" s="4">
        <v>2.35</v>
      </c>
      <c r="O104" s="4">
        <v>3.2</v>
      </c>
      <c r="P104" s="1">
        <v>3.8508</v>
      </c>
      <c r="Q104" s="1">
        <v>4.5964</v>
      </c>
      <c r="R104" s="1">
        <v>4.3250999999999999</v>
      </c>
      <c r="S104" s="1">
        <v>3.7785000000000002</v>
      </c>
    </row>
    <row r="105" spans="2:19" x14ac:dyDescent="0.3">
      <c r="B105" s="1" t="s">
        <v>2</v>
      </c>
      <c r="C105" s="1">
        <v>248.43</v>
      </c>
      <c r="D105" s="1">
        <v>430.49209999999999</v>
      </c>
      <c r="E105" s="1">
        <v>-156.68629999999999</v>
      </c>
      <c r="F105" s="1">
        <f t="shared" si="22"/>
        <v>458.12012045979822</v>
      </c>
      <c r="G105" s="1">
        <v>450</v>
      </c>
      <c r="H105" s="1">
        <f t="shared" si="23"/>
        <v>458.12012045979822</v>
      </c>
      <c r="I105" s="1">
        <v>0</v>
      </c>
      <c r="J105" s="1">
        <v>0</v>
      </c>
      <c r="K105" s="1">
        <f t="shared" si="21"/>
        <v>450</v>
      </c>
      <c r="L105" s="1">
        <v>52</v>
      </c>
      <c r="M105" s="4">
        <v>0.18</v>
      </c>
      <c r="N105" s="4">
        <v>5.0999999999999996</v>
      </c>
      <c r="O105" s="4">
        <v>3</v>
      </c>
      <c r="P105" s="1">
        <v>2.355</v>
      </c>
      <c r="Q105" s="1">
        <v>2.6684000000000001</v>
      </c>
      <c r="R105" s="1">
        <v>2.6093000000000002</v>
      </c>
      <c r="S105" s="1">
        <v>2.3267000000000002</v>
      </c>
    </row>
    <row r="106" spans="2:19" x14ac:dyDescent="0.3">
      <c r="B106" s="1" t="s">
        <v>27</v>
      </c>
      <c r="C106" s="1">
        <v>271.35000000000002</v>
      </c>
      <c r="D106" s="1">
        <v>304.91129999999998</v>
      </c>
      <c r="E106" s="1">
        <v>-110.9787</v>
      </c>
      <c r="F106" s="1">
        <f t="shared" si="22"/>
        <v>324.47984948434009</v>
      </c>
      <c r="G106" s="1">
        <v>450</v>
      </c>
      <c r="H106" s="1">
        <f t="shared" si="23"/>
        <v>324.47984948434009</v>
      </c>
      <c r="I106" s="1">
        <v>0</v>
      </c>
      <c r="J106" s="1">
        <v>0</v>
      </c>
      <c r="K106" s="1">
        <f t="shared" si="21"/>
        <v>450</v>
      </c>
      <c r="L106" s="1">
        <v>50</v>
      </c>
      <c r="M106" s="4">
        <v>1.5</v>
      </c>
      <c r="N106" s="4">
        <v>2.15</v>
      </c>
      <c r="O106" s="4">
        <v>1.5</v>
      </c>
      <c r="P106" s="1">
        <v>5.5785</v>
      </c>
      <c r="Q106" s="1">
        <v>6.6124000000000001</v>
      </c>
      <c r="R106" s="1">
        <v>6.2682000000000002</v>
      </c>
      <c r="S106" s="1">
        <v>5.4797000000000002</v>
      </c>
    </row>
    <row r="107" spans="2:19" x14ac:dyDescent="0.3">
      <c r="B107" s="1" t="s">
        <v>10</v>
      </c>
      <c r="C107" s="1">
        <v>288.77999999999997</v>
      </c>
      <c r="D107" s="1">
        <v>209.41079999999999</v>
      </c>
      <c r="E107" s="1">
        <v>-76.219300000000004</v>
      </c>
      <c r="F107" s="1">
        <f t="shared" si="22"/>
        <v>222.85031938305585</v>
      </c>
      <c r="G107" s="1">
        <v>450</v>
      </c>
      <c r="H107" s="1">
        <f t="shared" si="23"/>
        <v>222.85031938305585</v>
      </c>
      <c r="I107" s="1">
        <v>0</v>
      </c>
      <c r="J107" s="1">
        <v>0</v>
      </c>
      <c r="K107" s="1">
        <f t="shared" si="21"/>
        <v>450</v>
      </c>
      <c r="L107" s="1">
        <v>50</v>
      </c>
      <c r="M107" s="4">
        <v>0.9</v>
      </c>
      <c r="N107" s="4">
        <v>2.25</v>
      </c>
      <c r="O107" s="4">
        <v>3.2</v>
      </c>
      <c r="P107" s="1">
        <v>5.6645000000000003</v>
      </c>
      <c r="Q107" s="1">
        <v>7.0724999999999998</v>
      </c>
      <c r="R107" s="1">
        <v>5.58</v>
      </c>
      <c r="S107" s="1">
        <v>5.46</v>
      </c>
    </row>
    <row r="108" spans="2:19" x14ac:dyDescent="0.3">
      <c r="B108" s="1" t="s">
        <v>2</v>
      </c>
      <c r="C108" s="1">
        <v>307.27999999999997</v>
      </c>
      <c r="D108" s="1">
        <v>108.0476</v>
      </c>
      <c r="E108" s="1">
        <v>-39.326099999999997</v>
      </c>
      <c r="F108" s="1">
        <f t="shared" si="22"/>
        <v>114.9818507720675</v>
      </c>
      <c r="G108" s="1">
        <v>450</v>
      </c>
      <c r="H108" s="1">
        <f t="shared" si="23"/>
        <v>114.9818507720675</v>
      </c>
      <c r="I108" s="1">
        <v>0</v>
      </c>
      <c r="J108" s="1">
        <v>0</v>
      </c>
      <c r="K108" s="1">
        <f t="shared" si="21"/>
        <v>450</v>
      </c>
      <c r="L108" s="1">
        <v>47</v>
      </c>
      <c r="M108" s="4">
        <v>0.15</v>
      </c>
      <c r="N108" s="4">
        <v>5.4</v>
      </c>
      <c r="O108" s="4">
        <v>3.15</v>
      </c>
      <c r="P108" s="1">
        <v>4.7506000000000004</v>
      </c>
      <c r="Q108" s="1">
        <v>5.9379999999999997</v>
      </c>
      <c r="R108" s="1">
        <v>4.8512000000000004</v>
      </c>
      <c r="S108" s="1">
        <v>4.5930999999999997</v>
      </c>
    </row>
    <row r="109" spans="2:19" x14ac:dyDescent="0.3">
      <c r="B109" s="3" t="s">
        <v>28</v>
      </c>
      <c r="C109" s="3">
        <v>315.55</v>
      </c>
      <c r="D109" s="3">
        <v>62.735599999999998</v>
      </c>
      <c r="E109" s="3">
        <v>-22.8339</v>
      </c>
      <c r="F109" s="3">
        <f t="shared" si="22"/>
        <v>66.761834131260954</v>
      </c>
      <c r="G109" s="3">
        <v>450</v>
      </c>
      <c r="H109" s="3">
        <f t="shared" si="23"/>
        <v>66.761834131260954</v>
      </c>
      <c r="I109" s="3">
        <v>0</v>
      </c>
      <c r="J109" s="3">
        <v>0</v>
      </c>
      <c r="K109" s="3">
        <f t="shared" si="21"/>
        <v>450</v>
      </c>
      <c r="L109" s="3">
        <v>40</v>
      </c>
      <c r="M109" s="5">
        <v>1</v>
      </c>
      <c r="N109" s="5">
        <v>2.4300000000000002</v>
      </c>
      <c r="O109" s="5">
        <v>2</v>
      </c>
      <c r="P109" s="3">
        <v>6.3795000000000002</v>
      </c>
      <c r="Q109" s="3">
        <v>7.6509</v>
      </c>
      <c r="R109" s="3">
        <v>5.1262999999999996</v>
      </c>
      <c r="S109" s="3">
        <v>6.0608000000000004</v>
      </c>
    </row>
    <row r="112" spans="2:19" x14ac:dyDescent="0.3">
      <c r="B112" s="7" t="s">
        <v>34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2:19" ht="28.8" x14ac:dyDescent="0.3">
      <c r="B113" s="1" t="s">
        <v>0</v>
      </c>
      <c r="C113" s="2" t="s">
        <v>13</v>
      </c>
      <c r="D113" s="2" t="s">
        <v>14</v>
      </c>
      <c r="E113" s="2" t="s">
        <v>15</v>
      </c>
      <c r="F113" s="2" t="s">
        <v>16</v>
      </c>
      <c r="G113" s="2" t="s">
        <v>17</v>
      </c>
      <c r="H113" s="2" t="s">
        <v>18</v>
      </c>
      <c r="I113" s="2" t="s">
        <v>19</v>
      </c>
      <c r="J113" s="2" t="s">
        <v>20</v>
      </c>
      <c r="K113" s="2" t="s">
        <v>21</v>
      </c>
      <c r="L113" s="2" t="s">
        <v>23</v>
      </c>
      <c r="M113" s="2" t="s">
        <v>22</v>
      </c>
      <c r="N113" s="1" t="s">
        <v>11</v>
      </c>
      <c r="O113" s="1" t="s">
        <v>12</v>
      </c>
      <c r="P113" s="1" t="s">
        <v>35</v>
      </c>
      <c r="Q113" s="1" t="s">
        <v>36</v>
      </c>
      <c r="R113" s="1" t="s">
        <v>37</v>
      </c>
      <c r="S113" s="1" t="s">
        <v>38</v>
      </c>
    </row>
    <row r="114" spans="2:19" x14ac:dyDescent="0.3">
      <c r="B114" s="1" t="s">
        <v>1</v>
      </c>
      <c r="C114" s="1">
        <v>11.45</v>
      </c>
      <c r="D114" s="1">
        <v>8.3933999999999997</v>
      </c>
      <c r="E114" s="1">
        <v>-3.0550000000000002</v>
      </c>
      <c r="F114" s="1">
        <f>SQRT(D114^2+E114^2)</f>
        <v>8.9320875812992337</v>
      </c>
      <c r="G114" s="1">
        <v>450</v>
      </c>
      <c r="H114" s="1">
        <f>F114</f>
        <v>8.9320875812992337</v>
      </c>
      <c r="I114" s="1">
        <v>0</v>
      </c>
      <c r="J114" s="1">
        <v>0</v>
      </c>
      <c r="K114" s="1">
        <f>G114</f>
        <v>450</v>
      </c>
      <c r="L114" s="1">
        <v>40</v>
      </c>
      <c r="M114" s="4">
        <v>1</v>
      </c>
      <c r="N114" s="4">
        <v>2.4300000000000002</v>
      </c>
      <c r="O114" s="4">
        <v>2</v>
      </c>
      <c r="P114" s="1">
        <v>9.7015999999999991</v>
      </c>
      <c r="Q114" s="1">
        <v>10.098800000000001</v>
      </c>
      <c r="R114" s="1">
        <v>5.4009</v>
      </c>
      <c r="S114" s="1">
        <v>8.9832999999999998</v>
      </c>
    </row>
    <row r="115" spans="2:19" x14ac:dyDescent="0.3">
      <c r="B115" s="1" t="s">
        <v>2</v>
      </c>
      <c r="C115" s="1">
        <v>19.73</v>
      </c>
      <c r="D115" s="1">
        <v>14.463100000000001</v>
      </c>
      <c r="E115" s="1">
        <v>-5.2641</v>
      </c>
      <c r="F115" s="1">
        <f t="shared" ref="F115:F118" si="24">SQRT(D115^2+E115^2)</f>
        <v>15.391296580210518</v>
      </c>
      <c r="G115" s="1">
        <v>450</v>
      </c>
      <c r="H115" s="1">
        <f t="shared" ref="H115:H122" si="25">F115</f>
        <v>15.391296580210518</v>
      </c>
      <c r="I115" s="1">
        <v>0</v>
      </c>
      <c r="J115" s="1">
        <v>0</v>
      </c>
      <c r="K115" s="1">
        <f t="shared" ref="K115:K131" si="26">G115</f>
        <v>450</v>
      </c>
      <c r="L115" s="1">
        <v>47</v>
      </c>
      <c r="M115" s="4">
        <v>0.15</v>
      </c>
      <c r="N115" s="4">
        <v>5.4</v>
      </c>
      <c r="O115" s="4">
        <v>3.15</v>
      </c>
      <c r="P115" s="1">
        <v>9.9930000000000003</v>
      </c>
      <c r="Q115" s="1">
        <v>10.8726</v>
      </c>
      <c r="R115" s="1">
        <v>6.1397000000000004</v>
      </c>
      <c r="S115" s="1">
        <v>9.3207000000000004</v>
      </c>
    </row>
    <row r="116" spans="2:19" x14ac:dyDescent="0.3">
      <c r="B116" s="1" t="s">
        <v>3</v>
      </c>
      <c r="C116" s="1">
        <v>38.229999999999997</v>
      </c>
      <c r="D116" s="1">
        <v>28.0245</v>
      </c>
      <c r="E116" s="1">
        <v>-10.200100000000001</v>
      </c>
      <c r="F116" s="1">
        <f t="shared" si="24"/>
        <v>29.823055515154714</v>
      </c>
      <c r="G116" s="1">
        <v>450</v>
      </c>
      <c r="H116" s="1">
        <f t="shared" si="25"/>
        <v>29.823055515154714</v>
      </c>
      <c r="I116" s="1">
        <v>0</v>
      </c>
      <c r="J116" s="1">
        <v>0</v>
      </c>
      <c r="K116" s="1">
        <f t="shared" si="26"/>
        <v>450</v>
      </c>
      <c r="L116" s="1">
        <v>50</v>
      </c>
      <c r="M116" s="4">
        <v>0.9</v>
      </c>
      <c r="N116" s="4">
        <v>2.25</v>
      </c>
      <c r="O116" s="4">
        <v>3.15</v>
      </c>
      <c r="P116" s="1">
        <v>11.3207</v>
      </c>
      <c r="Q116" s="1">
        <v>12.208500000000001</v>
      </c>
      <c r="R116" s="1">
        <v>6.8144</v>
      </c>
      <c r="S116" s="1">
        <v>10.5435</v>
      </c>
    </row>
    <row r="117" spans="2:19" x14ac:dyDescent="0.3">
      <c r="B117" s="1" t="s">
        <v>6</v>
      </c>
      <c r="C117" s="1">
        <v>55.65</v>
      </c>
      <c r="D117" s="1">
        <v>40.794199999999996</v>
      </c>
      <c r="E117" s="1">
        <v>-14.847899999999999</v>
      </c>
      <c r="F117" s="1">
        <f t="shared" si="24"/>
        <v>43.412289596956292</v>
      </c>
      <c r="G117" s="1">
        <v>450</v>
      </c>
      <c r="H117" s="1">
        <f t="shared" si="25"/>
        <v>43.412289596956292</v>
      </c>
      <c r="I117" s="1">
        <v>0</v>
      </c>
      <c r="J117" s="1">
        <v>0</v>
      </c>
      <c r="K117" s="1">
        <f t="shared" si="26"/>
        <v>450</v>
      </c>
      <c r="L117" s="1">
        <v>50</v>
      </c>
      <c r="M117" s="4">
        <v>1.5</v>
      </c>
      <c r="N117" s="4">
        <v>2.15</v>
      </c>
      <c r="O117" s="4">
        <v>1.5</v>
      </c>
      <c r="P117" s="1">
        <v>17.802199999999999</v>
      </c>
      <c r="Q117" s="1">
        <v>20.892700000000001</v>
      </c>
      <c r="R117" s="1">
        <v>13.338800000000001</v>
      </c>
      <c r="S117" s="1">
        <v>16.8338</v>
      </c>
    </row>
    <row r="118" spans="2:19" x14ac:dyDescent="0.3">
      <c r="B118" s="1" t="s">
        <v>2</v>
      </c>
      <c r="C118" s="1">
        <v>78.58</v>
      </c>
      <c r="D118" s="1">
        <v>57.603099999999998</v>
      </c>
      <c r="E118" s="1">
        <v>-20.965800000000002</v>
      </c>
      <c r="F118" s="1">
        <f t="shared" si="24"/>
        <v>61.299933925331437</v>
      </c>
      <c r="G118" s="1">
        <v>450</v>
      </c>
      <c r="H118" s="1">
        <f t="shared" si="25"/>
        <v>61.299933925331437</v>
      </c>
      <c r="I118" s="1">
        <v>0</v>
      </c>
      <c r="J118" s="1">
        <v>0</v>
      </c>
      <c r="K118" s="1">
        <f t="shared" si="26"/>
        <v>450</v>
      </c>
      <c r="L118" s="1">
        <v>52</v>
      </c>
      <c r="M118" s="4">
        <v>0.18</v>
      </c>
      <c r="N118" s="4">
        <v>5.0999999999999996</v>
      </c>
      <c r="O118" s="4">
        <v>3</v>
      </c>
      <c r="P118" s="1">
        <v>9.2482000000000006</v>
      </c>
      <c r="Q118" s="1">
        <v>11.2957</v>
      </c>
      <c r="R118" s="1">
        <v>7.9673999999999996</v>
      </c>
      <c r="S118" s="1">
        <v>8.8276000000000003</v>
      </c>
    </row>
    <row r="119" spans="2:19" x14ac:dyDescent="0.3">
      <c r="B119" s="1" t="s">
        <v>4</v>
      </c>
      <c r="C119" s="1">
        <v>97.08</v>
      </c>
      <c r="D119" s="1">
        <v>71.164500000000004</v>
      </c>
      <c r="E119" s="1">
        <v>-25.901800000000001</v>
      </c>
      <c r="F119" s="1">
        <f>SQRT(D119^2+E119^2)</f>
        <v>75.731692860321033</v>
      </c>
      <c r="G119" s="1">
        <v>450</v>
      </c>
      <c r="H119" s="1">
        <f t="shared" si="25"/>
        <v>75.731692860321033</v>
      </c>
      <c r="I119" s="1">
        <v>0</v>
      </c>
      <c r="J119" s="1">
        <v>0</v>
      </c>
      <c r="K119" s="1">
        <f t="shared" si="26"/>
        <v>450</v>
      </c>
      <c r="L119" s="1">
        <v>55</v>
      </c>
      <c r="M119" s="4">
        <v>0.9</v>
      </c>
      <c r="N119" s="4">
        <v>2.35</v>
      </c>
      <c r="O119" s="4">
        <v>3.2</v>
      </c>
      <c r="P119" s="1">
        <v>11.872400000000001</v>
      </c>
      <c r="Q119" s="1">
        <v>13.8384</v>
      </c>
      <c r="R119" s="1">
        <v>8.7164999999999999</v>
      </c>
      <c r="S119" s="1">
        <v>11.2112</v>
      </c>
    </row>
    <row r="120" spans="2:19" x14ac:dyDescent="0.3">
      <c r="B120" s="1" t="s">
        <v>24</v>
      </c>
      <c r="C120" s="1">
        <v>116.5</v>
      </c>
      <c r="D120" s="1">
        <v>85.400300000000001</v>
      </c>
      <c r="E120" s="1">
        <v>-31.083200000000001</v>
      </c>
      <c r="F120" s="1">
        <f>SQRT(D120^2+E120^2)</f>
        <v>90.881112241928463</v>
      </c>
      <c r="G120" s="1">
        <v>450</v>
      </c>
      <c r="H120" s="1">
        <f t="shared" si="25"/>
        <v>90.881112241928463</v>
      </c>
      <c r="I120" s="1">
        <v>0</v>
      </c>
      <c r="J120" s="1">
        <v>0</v>
      </c>
      <c r="K120" s="1">
        <f t="shared" si="26"/>
        <v>450</v>
      </c>
      <c r="L120" s="1">
        <v>55</v>
      </c>
      <c r="M120" s="4">
        <v>1.5</v>
      </c>
      <c r="N120" s="4">
        <v>2.1</v>
      </c>
      <c r="O120" s="4">
        <v>1.45</v>
      </c>
      <c r="P120" s="1">
        <v>17.6447</v>
      </c>
      <c r="Q120" s="1">
        <v>21.9057</v>
      </c>
      <c r="R120" s="1">
        <v>16.524799999999999</v>
      </c>
      <c r="S120" s="1">
        <v>16.9419</v>
      </c>
    </row>
    <row r="121" spans="2:19" x14ac:dyDescent="0.3">
      <c r="B121" s="1" t="s">
        <v>5</v>
      </c>
      <c r="C121" s="1">
        <v>134</v>
      </c>
      <c r="D121" s="1">
        <v>98.228700000000003</v>
      </c>
      <c r="E121" s="1">
        <v>-35.752299999999998</v>
      </c>
      <c r="F121" s="1">
        <f>SQRT(D121^2+E121^2)</f>
        <v>104.53279130961729</v>
      </c>
      <c r="G121" s="1">
        <v>450</v>
      </c>
      <c r="H121" s="1">
        <f t="shared" si="25"/>
        <v>104.53279130961729</v>
      </c>
      <c r="I121" s="1">
        <v>0</v>
      </c>
      <c r="J121" s="1">
        <v>0</v>
      </c>
      <c r="K121" s="1">
        <f t="shared" si="26"/>
        <v>450</v>
      </c>
      <c r="L121" s="1">
        <v>60</v>
      </c>
      <c r="M121" s="4">
        <v>0.9</v>
      </c>
      <c r="N121" s="4">
        <v>2.4</v>
      </c>
      <c r="O121" s="4">
        <v>3.27</v>
      </c>
      <c r="P121" s="8">
        <v>13.3807180178322</v>
      </c>
      <c r="Q121" s="8">
        <v>16.066806706008698</v>
      </c>
      <c r="R121" s="8">
        <v>10.7978297493172</v>
      </c>
      <c r="S121" s="8">
        <v>12.715904918165601</v>
      </c>
    </row>
    <row r="122" spans="2:19" x14ac:dyDescent="0.3">
      <c r="B122" s="1" t="s">
        <v>7</v>
      </c>
      <c r="C122" s="1">
        <v>151.5</v>
      </c>
      <c r="D122" s="1">
        <v>111.05710000000001</v>
      </c>
      <c r="E122" s="1">
        <v>-40.421500000000002</v>
      </c>
      <c r="F122" s="1">
        <f>SQRT(D122^2+E122^2)</f>
        <v>118.18450457932292</v>
      </c>
      <c r="G122" s="1">
        <v>450</v>
      </c>
      <c r="H122" s="1">
        <f t="shared" si="25"/>
        <v>118.18450457932292</v>
      </c>
      <c r="I122" s="1">
        <v>0</v>
      </c>
      <c r="J122" s="1">
        <v>0</v>
      </c>
      <c r="K122" s="1">
        <f t="shared" si="26"/>
        <v>450</v>
      </c>
      <c r="L122" s="1">
        <v>60</v>
      </c>
      <c r="M122" s="4">
        <v>1.5</v>
      </c>
      <c r="N122" s="4">
        <v>2.08</v>
      </c>
      <c r="O122" s="4">
        <v>1.42</v>
      </c>
      <c r="P122" s="1">
        <v>19.905000000000001</v>
      </c>
      <c r="Q122" s="1">
        <v>24.879899999999999</v>
      </c>
      <c r="R122" s="1">
        <v>20.093599999999999</v>
      </c>
      <c r="S122" s="1">
        <v>19.2256</v>
      </c>
    </row>
    <row r="123" spans="2:19" x14ac:dyDescent="0.3">
      <c r="B123" s="1" t="s">
        <v>25</v>
      </c>
      <c r="C123" s="1">
        <v>175.5</v>
      </c>
      <c r="D123" s="1">
        <v>128.65029999999999</v>
      </c>
      <c r="E123" s="1">
        <v>-46.8249</v>
      </c>
      <c r="F123" s="1">
        <f t="shared" ref="F123:F131" si="27">SQRT(D123^2+E123^2)</f>
        <v>136.90679658110477</v>
      </c>
      <c r="G123" s="1">
        <v>450</v>
      </c>
      <c r="H123" s="1">
        <f>F123</f>
        <v>136.90679658110477</v>
      </c>
      <c r="I123" s="1">
        <v>0</v>
      </c>
      <c r="J123" s="1">
        <v>0</v>
      </c>
      <c r="K123" s="1">
        <f t="shared" si="26"/>
        <v>450</v>
      </c>
      <c r="L123" s="1">
        <v>60</v>
      </c>
      <c r="M123" s="4">
        <v>1.5</v>
      </c>
      <c r="N123" s="4">
        <v>2.08</v>
      </c>
      <c r="O123" s="4">
        <v>1.42</v>
      </c>
      <c r="P123" s="1">
        <v>18.194099999999999</v>
      </c>
      <c r="Q123" s="1">
        <v>22.718800000000002</v>
      </c>
      <c r="R123" s="1">
        <v>18.963200000000001</v>
      </c>
      <c r="S123" s="1">
        <v>17.6248</v>
      </c>
    </row>
    <row r="124" spans="2:19" x14ac:dyDescent="0.3">
      <c r="B124" s="1" t="s">
        <v>8</v>
      </c>
      <c r="C124" s="1">
        <v>193</v>
      </c>
      <c r="D124" s="1">
        <v>141.4786</v>
      </c>
      <c r="E124" s="1">
        <v>-51.494</v>
      </c>
      <c r="F124" s="1">
        <f t="shared" si="27"/>
        <v>150.5583816795332</v>
      </c>
      <c r="G124" s="1">
        <v>450</v>
      </c>
      <c r="H124" s="1">
        <f t="shared" ref="H124:H131" si="28">F124</f>
        <v>150.5583816795332</v>
      </c>
      <c r="I124" s="1">
        <v>0</v>
      </c>
      <c r="J124" s="1">
        <v>0</v>
      </c>
      <c r="K124" s="1">
        <f t="shared" si="26"/>
        <v>450</v>
      </c>
      <c r="L124" s="1">
        <v>60</v>
      </c>
      <c r="M124" s="4">
        <v>0.9</v>
      </c>
      <c r="N124" s="4">
        <v>2.4</v>
      </c>
      <c r="O124" s="4">
        <v>3.27</v>
      </c>
      <c r="P124" s="1">
        <v>11.382300000000001</v>
      </c>
      <c r="Q124" s="1">
        <v>14.033799999999999</v>
      </c>
      <c r="R124" s="1">
        <v>10.2431</v>
      </c>
      <c r="S124" s="1">
        <v>10.897600000000001</v>
      </c>
    </row>
    <row r="125" spans="2:19" x14ac:dyDescent="0.3">
      <c r="B125" s="1" t="s">
        <v>26</v>
      </c>
      <c r="C125" s="1">
        <v>210.5</v>
      </c>
      <c r="D125" s="1">
        <v>154.30699999999999</v>
      </c>
      <c r="E125" s="1">
        <v>-56.163200000000003</v>
      </c>
      <c r="F125" s="1">
        <f t="shared" si="27"/>
        <v>164.21009494924479</v>
      </c>
      <c r="G125" s="1">
        <v>450</v>
      </c>
      <c r="H125" s="1">
        <f t="shared" si="28"/>
        <v>164.21009494924479</v>
      </c>
      <c r="I125" s="1">
        <v>0</v>
      </c>
      <c r="J125" s="1">
        <v>0</v>
      </c>
      <c r="K125" s="1">
        <f t="shared" si="26"/>
        <v>450</v>
      </c>
      <c r="L125" s="1">
        <v>55</v>
      </c>
      <c r="M125" s="4">
        <v>1.5</v>
      </c>
      <c r="N125" s="4">
        <v>2.1</v>
      </c>
      <c r="O125" s="4">
        <v>1.45</v>
      </c>
      <c r="P125" s="1">
        <v>12.408799999999999</v>
      </c>
      <c r="Q125" s="1">
        <v>15.425700000000001</v>
      </c>
      <c r="R125" s="1">
        <v>13.302199999999999</v>
      </c>
      <c r="S125" s="1">
        <v>12.0571</v>
      </c>
    </row>
    <row r="126" spans="2:19" x14ac:dyDescent="0.3">
      <c r="B126" s="1" t="s">
        <v>9</v>
      </c>
      <c r="C126" s="1">
        <v>229.93</v>
      </c>
      <c r="D126" s="1">
        <v>168.55019999999999</v>
      </c>
      <c r="E126" s="1">
        <v>-61.347200000000001</v>
      </c>
      <c r="F126" s="1">
        <f t="shared" si="27"/>
        <v>179.36735730862515</v>
      </c>
      <c r="G126" s="1">
        <v>450</v>
      </c>
      <c r="H126" s="1">
        <f t="shared" si="28"/>
        <v>179.36735730862515</v>
      </c>
      <c r="I126" s="1">
        <v>0</v>
      </c>
      <c r="J126" s="1">
        <v>0</v>
      </c>
      <c r="K126" s="1">
        <f t="shared" si="26"/>
        <v>450</v>
      </c>
      <c r="L126" s="1">
        <v>55</v>
      </c>
      <c r="M126" s="4">
        <v>0.9</v>
      </c>
      <c r="N126" s="4">
        <v>2.35</v>
      </c>
      <c r="O126" s="4">
        <v>3.2</v>
      </c>
      <c r="P126" s="1">
        <v>8.2426999999999992</v>
      </c>
      <c r="Q126" s="1">
        <v>10.243600000000001</v>
      </c>
      <c r="R126" s="1">
        <v>7.7736999999999998</v>
      </c>
      <c r="S126" s="1">
        <v>7.9184999999999999</v>
      </c>
    </row>
    <row r="127" spans="2:19" x14ac:dyDescent="0.3">
      <c r="B127" s="1" t="s">
        <v>2</v>
      </c>
      <c r="C127" s="1">
        <v>248.43</v>
      </c>
      <c r="D127" s="1">
        <v>182.11160000000001</v>
      </c>
      <c r="E127" s="1">
        <v>-66.283199999999994</v>
      </c>
      <c r="F127" s="1">
        <f t="shared" si="27"/>
        <v>193.799116243599</v>
      </c>
      <c r="G127" s="1">
        <v>450</v>
      </c>
      <c r="H127" s="1">
        <f t="shared" si="28"/>
        <v>193.799116243599</v>
      </c>
      <c r="I127" s="1">
        <v>0</v>
      </c>
      <c r="J127" s="1">
        <v>0</v>
      </c>
      <c r="K127" s="1">
        <f t="shared" si="26"/>
        <v>450</v>
      </c>
      <c r="L127" s="1">
        <v>52</v>
      </c>
      <c r="M127" s="4">
        <v>0.18</v>
      </c>
      <c r="N127" s="4">
        <v>5.0999999999999996</v>
      </c>
      <c r="O127" s="4">
        <v>3</v>
      </c>
      <c r="P127" s="1">
        <v>4.6769999999999996</v>
      </c>
      <c r="Q127" s="1">
        <v>5.7252999999999998</v>
      </c>
      <c r="R127" s="1">
        <v>5.1809000000000003</v>
      </c>
      <c r="S127" s="1">
        <v>4.5670000000000002</v>
      </c>
    </row>
    <row r="128" spans="2:19" x14ac:dyDescent="0.3">
      <c r="B128" s="1" t="s">
        <v>27</v>
      </c>
      <c r="C128" s="1">
        <v>271.35000000000002</v>
      </c>
      <c r="D128" s="1">
        <v>198.91309999999999</v>
      </c>
      <c r="E128" s="1">
        <v>-72.398399999999995</v>
      </c>
      <c r="F128" s="1">
        <f t="shared" si="27"/>
        <v>211.67888339220326</v>
      </c>
      <c r="G128" s="1">
        <v>450</v>
      </c>
      <c r="H128" s="1">
        <f t="shared" si="28"/>
        <v>211.67888339220326</v>
      </c>
      <c r="I128" s="1">
        <v>0</v>
      </c>
      <c r="J128" s="1">
        <v>0</v>
      </c>
      <c r="K128" s="1">
        <f t="shared" si="26"/>
        <v>450</v>
      </c>
      <c r="L128" s="1">
        <v>50</v>
      </c>
      <c r="M128" s="4">
        <v>1.5</v>
      </c>
      <c r="N128" s="4">
        <v>2.15</v>
      </c>
      <c r="O128" s="4">
        <v>1.5</v>
      </c>
      <c r="P128" s="1">
        <v>7.7004999999999999</v>
      </c>
      <c r="Q128" s="1">
        <v>9.4555000000000007</v>
      </c>
      <c r="R128" s="1">
        <v>8.4964999999999993</v>
      </c>
      <c r="S128" s="1">
        <v>7.5134999999999996</v>
      </c>
    </row>
    <row r="129" spans="2:19" x14ac:dyDescent="0.3">
      <c r="B129" s="1" t="s">
        <v>10</v>
      </c>
      <c r="C129" s="1">
        <v>288.77999999999997</v>
      </c>
      <c r="D129" s="1">
        <v>211.6901</v>
      </c>
      <c r="E129" s="1">
        <v>-77.048900000000003</v>
      </c>
      <c r="F129" s="1">
        <f t="shared" si="27"/>
        <v>225.27590068451619</v>
      </c>
      <c r="G129" s="1">
        <v>450</v>
      </c>
      <c r="H129" s="1">
        <f t="shared" si="28"/>
        <v>225.27590068451619</v>
      </c>
      <c r="I129" s="1">
        <v>0</v>
      </c>
      <c r="J129" s="1">
        <v>0</v>
      </c>
      <c r="K129" s="1">
        <f t="shared" si="26"/>
        <v>450</v>
      </c>
      <c r="L129" s="1">
        <v>50</v>
      </c>
      <c r="M129" s="4">
        <v>0.9</v>
      </c>
      <c r="N129" s="4">
        <v>2.25</v>
      </c>
      <c r="O129" s="4">
        <v>3.2</v>
      </c>
      <c r="P129" s="1">
        <v>5.6295999999999999</v>
      </c>
      <c r="Q129" s="1">
        <v>7.0303000000000004</v>
      </c>
      <c r="R129" s="1">
        <v>5.5609000000000002</v>
      </c>
      <c r="S129" s="1">
        <v>5.4276</v>
      </c>
    </row>
    <row r="130" spans="2:19" x14ac:dyDescent="0.3">
      <c r="B130" s="1" t="s">
        <v>2</v>
      </c>
      <c r="C130" s="1">
        <v>307.27999999999997</v>
      </c>
      <c r="D130" s="1">
        <v>109.22369999999999</v>
      </c>
      <c r="E130" s="1">
        <v>-39.754199999999997</v>
      </c>
      <c r="F130" s="1">
        <f t="shared" si="27"/>
        <v>116.23344208673336</v>
      </c>
      <c r="G130" s="1">
        <v>450</v>
      </c>
      <c r="H130" s="1">
        <f t="shared" si="28"/>
        <v>116.23344208673336</v>
      </c>
      <c r="I130" s="1">
        <v>0</v>
      </c>
      <c r="J130" s="1">
        <v>0</v>
      </c>
      <c r="K130" s="1">
        <f t="shared" si="26"/>
        <v>450</v>
      </c>
      <c r="L130" s="1">
        <v>47</v>
      </c>
      <c r="M130" s="4">
        <v>0.15</v>
      </c>
      <c r="N130" s="4">
        <v>5.4</v>
      </c>
      <c r="O130" s="4">
        <v>3.15</v>
      </c>
      <c r="P130" s="1">
        <v>4.7195</v>
      </c>
      <c r="Q130" s="1">
        <v>5.8989000000000003</v>
      </c>
      <c r="R130" s="1">
        <v>4.8310000000000004</v>
      </c>
      <c r="S130" s="1">
        <v>4.5640000000000001</v>
      </c>
    </row>
    <row r="131" spans="2:19" x14ac:dyDescent="0.3">
      <c r="B131" s="3" t="s">
        <v>28</v>
      </c>
      <c r="C131" s="3">
        <v>315.55</v>
      </c>
      <c r="D131" s="3">
        <v>63.418399999999998</v>
      </c>
      <c r="E131" s="3">
        <v>-23.0824</v>
      </c>
      <c r="F131" s="3">
        <f t="shared" si="27"/>
        <v>67.488448258350104</v>
      </c>
      <c r="G131" s="3">
        <v>450</v>
      </c>
      <c r="H131" s="3">
        <f t="shared" si="28"/>
        <v>67.488448258350104</v>
      </c>
      <c r="I131" s="3">
        <v>0</v>
      </c>
      <c r="J131" s="3">
        <v>0</v>
      </c>
      <c r="K131" s="3">
        <f t="shared" si="26"/>
        <v>450</v>
      </c>
      <c r="L131" s="3">
        <v>40</v>
      </c>
      <c r="M131" s="5">
        <v>1</v>
      </c>
      <c r="N131" s="5">
        <v>2.4300000000000002</v>
      </c>
      <c r="O131" s="5">
        <v>2</v>
      </c>
      <c r="P131" s="3">
        <v>6.3521999999999998</v>
      </c>
      <c r="Q131" s="3">
        <v>7.6250999999999998</v>
      </c>
      <c r="R131" s="3">
        <v>5.1205999999999996</v>
      </c>
      <c r="S131" s="3">
        <v>6.0362</v>
      </c>
    </row>
  </sheetData>
  <mergeCells count="6">
    <mergeCell ref="B112:S112"/>
    <mergeCell ref="B2:S2"/>
    <mergeCell ref="B24:S24"/>
    <mergeCell ref="B46:S46"/>
    <mergeCell ref="B68:S68"/>
    <mergeCell ref="B90:S90"/>
  </mergeCells>
  <phoneticPr fontId="1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Allouch</dc:creator>
  <cp:lastModifiedBy>Anas Allouch</cp:lastModifiedBy>
  <dcterms:created xsi:type="dcterms:W3CDTF">2025-11-07T10:08:09Z</dcterms:created>
  <dcterms:modified xsi:type="dcterms:W3CDTF">2025-11-14T12:02:03Z</dcterms:modified>
</cp:coreProperties>
</file>