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Important\"/>
    </mc:Choice>
  </mc:AlternateContent>
  <xr:revisionPtr revIDLastSave="0" documentId="13_ncr:1_{0C2B6C76-108A-40B6-A83D-4EEF15BCA6A6}" xr6:coauthVersionLast="47" xr6:coauthVersionMax="47" xr10:uidLastSave="{00000000-0000-0000-0000-000000000000}"/>
  <bookViews>
    <workbookView xWindow="-108" yWindow="-108" windowWidth="23256" windowHeight="13176" xr2:uid="{AA32C294-DB1A-400A-91DE-AD32B678A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" l="1"/>
  <c r="G81" i="1"/>
  <c r="G82" i="1"/>
  <c r="G83" i="1"/>
  <c r="G84" i="1"/>
  <c r="G85" i="1"/>
  <c r="G86" i="1"/>
  <c r="G87" i="1"/>
  <c r="G88" i="1"/>
  <c r="G89" i="1"/>
  <c r="G79" i="1"/>
  <c r="G65" i="1"/>
  <c r="G66" i="1"/>
  <c r="G67" i="1"/>
  <c r="G68" i="1"/>
  <c r="G69" i="1"/>
  <c r="G70" i="1"/>
  <c r="G71" i="1"/>
  <c r="G72" i="1"/>
  <c r="G73" i="1"/>
  <c r="G74" i="1"/>
  <c r="G64" i="1"/>
  <c r="G50" i="1"/>
  <c r="G51" i="1"/>
  <c r="G52" i="1"/>
  <c r="G53" i="1"/>
  <c r="G54" i="1"/>
  <c r="G55" i="1"/>
  <c r="G56" i="1"/>
  <c r="G57" i="1"/>
  <c r="G58" i="1"/>
  <c r="G59" i="1"/>
  <c r="G49" i="1"/>
  <c r="G35" i="1" l="1"/>
  <c r="G36" i="1"/>
  <c r="G37" i="1"/>
  <c r="G38" i="1"/>
  <c r="G39" i="1"/>
  <c r="G40" i="1"/>
  <c r="G41" i="1"/>
  <c r="G42" i="1"/>
  <c r="K42" i="1" s="1"/>
  <c r="G43" i="1"/>
  <c r="K43" i="1" s="1"/>
  <c r="G44" i="1"/>
  <c r="G20" i="1"/>
  <c r="G21" i="1"/>
  <c r="G22" i="1"/>
  <c r="J22" i="1" s="1"/>
  <c r="G23" i="1"/>
  <c r="G24" i="1"/>
  <c r="G25" i="1"/>
  <c r="G26" i="1"/>
  <c r="G27" i="1"/>
  <c r="K27" i="1" s="1"/>
  <c r="G28" i="1"/>
  <c r="K28" i="1" s="1"/>
  <c r="G29" i="1"/>
  <c r="K29" i="1" s="1"/>
  <c r="G19" i="1"/>
  <c r="G34" i="1"/>
  <c r="K34" i="1" s="1"/>
  <c r="K89" i="1"/>
  <c r="J89" i="1"/>
  <c r="F89" i="1"/>
  <c r="I89" i="1" s="1"/>
  <c r="K88" i="1"/>
  <c r="J88" i="1"/>
  <c r="F88" i="1"/>
  <c r="I88" i="1" s="1"/>
  <c r="K87" i="1"/>
  <c r="J87" i="1"/>
  <c r="F87" i="1"/>
  <c r="I87" i="1" s="1"/>
  <c r="K86" i="1"/>
  <c r="J86" i="1"/>
  <c r="F86" i="1"/>
  <c r="H86" i="1" s="1"/>
  <c r="K85" i="1"/>
  <c r="J85" i="1"/>
  <c r="F85" i="1"/>
  <c r="I85" i="1" s="1"/>
  <c r="K84" i="1"/>
  <c r="J84" i="1"/>
  <c r="F84" i="1"/>
  <c r="I84" i="1" s="1"/>
  <c r="K83" i="1"/>
  <c r="J83" i="1"/>
  <c r="F83" i="1"/>
  <c r="I83" i="1" s="1"/>
  <c r="K82" i="1"/>
  <c r="J82" i="1"/>
  <c r="F82" i="1"/>
  <c r="I82" i="1" s="1"/>
  <c r="K81" i="1"/>
  <c r="J81" i="1"/>
  <c r="F81" i="1"/>
  <c r="I81" i="1" s="1"/>
  <c r="K80" i="1"/>
  <c r="J80" i="1"/>
  <c r="F80" i="1"/>
  <c r="I80" i="1" s="1"/>
  <c r="K79" i="1"/>
  <c r="J79" i="1"/>
  <c r="F79" i="1"/>
  <c r="I79" i="1" s="1"/>
  <c r="K74" i="1"/>
  <c r="J74" i="1"/>
  <c r="F74" i="1"/>
  <c r="H74" i="1" s="1"/>
  <c r="K73" i="1"/>
  <c r="J73" i="1"/>
  <c r="F73" i="1"/>
  <c r="I73" i="1" s="1"/>
  <c r="K72" i="1"/>
  <c r="J72" i="1"/>
  <c r="F72" i="1"/>
  <c r="I72" i="1" s="1"/>
  <c r="K71" i="1"/>
  <c r="J71" i="1"/>
  <c r="F71" i="1"/>
  <c r="I71" i="1" s="1"/>
  <c r="K70" i="1"/>
  <c r="J70" i="1"/>
  <c r="F70" i="1"/>
  <c r="I70" i="1" s="1"/>
  <c r="K69" i="1"/>
  <c r="J69" i="1"/>
  <c r="F69" i="1"/>
  <c r="I69" i="1" s="1"/>
  <c r="K68" i="1"/>
  <c r="J68" i="1"/>
  <c r="F68" i="1"/>
  <c r="I68" i="1" s="1"/>
  <c r="K67" i="1"/>
  <c r="J67" i="1"/>
  <c r="F67" i="1"/>
  <c r="I67" i="1" s="1"/>
  <c r="K66" i="1"/>
  <c r="J66" i="1"/>
  <c r="F66" i="1"/>
  <c r="I66" i="1" s="1"/>
  <c r="K65" i="1"/>
  <c r="J65" i="1"/>
  <c r="F65" i="1"/>
  <c r="H65" i="1" s="1"/>
  <c r="K64" i="1"/>
  <c r="J64" i="1"/>
  <c r="F64" i="1"/>
  <c r="I64" i="1" s="1"/>
  <c r="K59" i="1"/>
  <c r="J59" i="1"/>
  <c r="F59" i="1"/>
  <c r="I59" i="1" s="1"/>
  <c r="K58" i="1"/>
  <c r="J58" i="1"/>
  <c r="F58" i="1"/>
  <c r="I58" i="1" s="1"/>
  <c r="K57" i="1"/>
  <c r="J57" i="1"/>
  <c r="F57" i="1"/>
  <c r="H57" i="1" s="1"/>
  <c r="K56" i="1"/>
  <c r="J56" i="1"/>
  <c r="F56" i="1"/>
  <c r="I56" i="1" s="1"/>
  <c r="K55" i="1"/>
  <c r="J55" i="1"/>
  <c r="F55" i="1"/>
  <c r="I55" i="1" s="1"/>
  <c r="K54" i="1"/>
  <c r="J54" i="1"/>
  <c r="F54" i="1"/>
  <c r="I54" i="1" s="1"/>
  <c r="K53" i="1"/>
  <c r="J53" i="1"/>
  <c r="F53" i="1"/>
  <c r="I53" i="1" s="1"/>
  <c r="K52" i="1"/>
  <c r="J52" i="1"/>
  <c r="F52" i="1"/>
  <c r="H52" i="1" s="1"/>
  <c r="K51" i="1"/>
  <c r="J51" i="1"/>
  <c r="F51" i="1"/>
  <c r="H51" i="1" s="1"/>
  <c r="K50" i="1"/>
  <c r="J50" i="1"/>
  <c r="F50" i="1"/>
  <c r="I50" i="1" s="1"/>
  <c r="K49" i="1"/>
  <c r="J49" i="1"/>
  <c r="F49" i="1"/>
  <c r="I49" i="1" s="1"/>
  <c r="K44" i="1"/>
  <c r="J44" i="1"/>
  <c r="F44" i="1"/>
  <c r="I44" i="1" s="1"/>
  <c r="F43" i="1"/>
  <c r="I43" i="1" s="1"/>
  <c r="F42" i="1"/>
  <c r="I42" i="1" s="1"/>
  <c r="K41" i="1"/>
  <c r="J41" i="1"/>
  <c r="F41" i="1"/>
  <c r="I41" i="1" s="1"/>
  <c r="K40" i="1"/>
  <c r="J40" i="1"/>
  <c r="F40" i="1"/>
  <c r="I40" i="1" s="1"/>
  <c r="K39" i="1"/>
  <c r="J39" i="1"/>
  <c r="F39" i="1"/>
  <c r="I39" i="1" s="1"/>
  <c r="K38" i="1"/>
  <c r="J38" i="1"/>
  <c r="F38" i="1"/>
  <c r="I38" i="1" s="1"/>
  <c r="K37" i="1"/>
  <c r="J37" i="1"/>
  <c r="F37" i="1"/>
  <c r="I37" i="1" s="1"/>
  <c r="K36" i="1"/>
  <c r="J36" i="1"/>
  <c r="F36" i="1"/>
  <c r="H36" i="1" s="1"/>
  <c r="K35" i="1"/>
  <c r="J35" i="1"/>
  <c r="F35" i="1"/>
  <c r="I35" i="1" s="1"/>
  <c r="F34" i="1"/>
  <c r="I34" i="1" s="1"/>
  <c r="F29" i="1"/>
  <c r="I29" i="1" s="1"/>
  <c r="F28" i="1"/>
  <c r="I28" i="1" s="1"/>
  <c r="J27" i="1"/>
  <c r="F27" i="1"/>
  <c r="I27" i="1" s="1"/>
  <c r="K26" i="1"/>
  <c r="J26" i="1"/>
  <c r="F26" i="1"/>
  <c r="I26" i="1" s="1"/>
  <c r="K25" i="1"/>
  <c r="J25" i="1"/>
  <c r="F25" i="1"/>
  <c r="I25" i="1" s="1"/>
  <c r="K24" i="1"/>
  <c r="J24" i="1"/>
  <c r="F24" i="1"/>
  <c r="I24" i="1" s="1"/>
  <c r="K23" i="1"/>
  <c r="J23" i="1"/>
  <c r="F23" i="1"/>
  <c r="I23" i="1" s="1"/>
  <c r="K22" i="1"/>
  <c r="F22" i="1"/>
  <c r="I22" i="1" s="1"/>
  <c r="K21" i="1"/>
  <c r="J21" i="1"/>
  <c r="F21" i="1"/>
  <c r="H21" i="1" s="1"/>
  <c r="K20" i="1"/>
  <c r="J20" i="1"/>
  <c r="F20" i="1"/>
  <c r="I20" i="1" s="1"/>
  <c r="K19" i="1"/>
  <c r="J19" i="1"/>
  <c r="F19" i="1"/>
  <c r="I19" i="1" s="1"/>
  <c r="K5" i="1"/>
  <c r="K6" i="1"/>
  <c r="K7" i="1"/>
  <c r="K8" i="1"/>
  <c r="K9" i="1"/>
  <c r="K10" i="1"/>
  <c r="K11" i="1"/>
  <c r="K12" i="1"/>
  <c r="K13" i="1"/>
  <c r="K14" i="1"/>
  <c r="J5" i="1"/>
  <c r="J6" i="1"/>
  <c r="J7" i="1"/>
  <c r="J8" i="1"/>
  <c r="J9" i="1"/>
  <c r="J10" i="1"/>
  <c r="J11" i="1"/>
  <c r="J12" i="1"/>
  <c r="J13" i="1"/>
  <c r="J14" i="1"/>
  <c r="I5" i="1"/>
  <c r="I6" i="1"/>
  <c r="I7" i="1"/>
  <c r="I8" i="1"/>
  <c r="I9" i="1"/>
  <c r="I10" i="1"/>
  <c r="I11" i="1"/>
  <c r="I12" i="1"/>
  <c r="I13" i="1"/>
  <c r="I14" i="1"/>
  <c r="H5" i="1"/>
  <c r="H6" i="1"/>
  <c r="H7" i="1"/>
  <c r="H8" i="1"/>
  <c r="H9" i="1"/>
  <c r="H10" i="1"/>
  <c r="H11" i="1"/>
  <c r="H12" i="1"/>
  <c r="H13" i="1"/>
  <c r="H14" i="1"/>
  <c r="F5" i="1"/>
  <c r="F6" i="1"/>
  <c r="F7" i="1"/>
  <c r="F8" i="1"/>
  <c r="F9" i="1"/>
  <c r="F10" i="1"/>
  <c r="F11" i="1"/>
  <c r="F12" i="1"/>
  <c r="F13" i="1"/>
  <c r="F14" i="1"/>
  <c r="K4" i="1"/>
  <c r="J4" i="1"/>
  <c r="F4" i="1"/>
  <c r="I4" i="1" s="1"/>
  <c r="H81" i="1" l="1"/>
  <c r="I65" i="1"/>
  <c r="I74" i="1"/>
  <c r="H66" i="1"/>
  <c r="I51" i="1"/>
  <c r="I36" i="1"/>
  <c r="H44" i="1"/>
  <c r="J42" i="1"/>
  <c r="J43" i="1"/>
  <c r="J28" i="1"/>
  <c r="J29" i="1"/>
  <c r="J34" i="1"/>
  <c r="I21" i="1"/>
  <c r="I86" i="1"/>
  <c r="H82" i="1"/>
  <c r="H87" i="1"/>
  <c r="H83" i="1"/>
  <c r="H79" i="1"/>
  <c r="H88" i="1"/>
  <c r="H84" i="1"/>
  <c r="H80" i="1"/>
  <c r="H89" i="1"/>
  <c r="H85" i="1"/>
  <c r="H71" i="1"/>
  <c r="H67" i="1"/>
  <c r="H72" i="1"/>
  <c r="H68" i="1"/>
  <c r="H64" i="1"/>
  <c r="H73" i="1"/>
  <c r="H69" i="1"/>
  <c r="H70" i="1"/>
  <c r="H56" i="1"/>
  <c r="I52" i="1"/>
  <c r="I57" i="1"/>
  <c r="H49" i="1"/>
  <c r="H58" i="1"/>
  <c r="H54" i="1"/>
  <c r="H50" i="1"/>
  <c r="H59" i="1"/>
  <c r="H53" i="1"/>
  <c r="H55" i="1"/>
  <c r="H41" i="1"/>
  <c r="H37" i="1"/>
  <c r="H42" i="1"/>
  <c r="H34" i="1"/>
  <c r="H38" i="1"/>
  <c r="H43" i="1"/>
  <c r="H39" i="1"/>
  <c r="H35" i="1"/>
  <c r="H40" i="1"/>
  <c r="H26" i="1"/>
  <c r="H22" i="1"/>
  <c r="H27" i="1"/>
  <c r="H23" i="1"/>
  <c r="H19" i="1"/>
  <c r="H28" i="1"/>
  <c r="H24" i="1"/>
  <c r="H20" i="1"/>
  <c r="H29" i="1"/>
  <c r="H25" i="1"/>
  <c r="H4" i="1"/>
</calcChain>
</file>

<file path=xl/sharedStrings.xml><?xml version="1.0" encoding="utf-8"?>
<sst xmlns="http://schemas.openxmlformats.org/spreadsheetml/2006/main" count="180" uniqueCount="33">
  <si>
    <t>feature</t>
  </si>
  <si>
    <t>shoulder bearing A</t>
  </si>
  <si>
    <t>groove</t>
  </si>
  <si>
    <t>dog keyseat R-1</t>
  </si>
  <si>
    <t>shoulder 1-2</t>
  </si>
  <si>
    <t>shoulder 2-3</t>
  </si>
  <si>
    <t>dog keyseat 2-3</t>
  </si>
  <si>
    <t>shoulder 3-4</t>
  </si>
  <si>
    <t>dog keyseat 4-5</t>
  </si>
  <si>
    <t>shoulder bearing B</t>
  </si>
  <si>
    <t>kt</t>
  </si>
  <si>
    <t>kts</t>
  </si>
  <si>
    <t>location
[mm]</t>
  </si>
  <si>
    <t>Mxy
[Nm]</t>
  </si>
  <si>
    <t>Mxz
[Nm]</t>
  </si>
  <si>
    <t>Mmax
[Nm]</t>
  </si>
  <si>
    <t>Tmax
[Nm]</t>
  </si>
  <si>
    <t>Ma
[Nm]</t>
  </si>
  <si>
    <t>Mm
[Nm]</t>
  </si>
  <si>
    <t>Ta
[Nm]</t>
  </si>
  <si>
    <t>Tm
[Nm]</t>
  </si>
  <si>
    <t>shaft diameter
[mm]</t>
  </si>
  <si>
    <t>notch radius
[mm]</t>
  </si>
  <si>
    <t>SF_Goodman</t>
  </si>
  <si>
    <t>SF_Gerber</t>
  </si>
  <si>
    <t>SF_ASMEelliptic</t>
  </si>
  <si>
    <t>SF_Soderberg</t>
  </si>
  <si>
    <t>output shaft gear 1</t>
  </si>
  <si>
    <t>output shaft gear 2</t>
  </si>
  <si>
    <t>output shaft gear 3</t>
  </si>
  <si>
    <t>output shaft gear 4</t>
  </si>
  <si>
    <t>output shaft gear 5</t>
  </si>
  <si>
    <t>output shaft reverse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</si>
</sst>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35FE-39C8-42C6-B80D-EB6D2F7C91CC}">
  <dimension ref="B2:Z89"/>
  <sheetViews>
    <sheetView tabSelected="1" zoomScale="87" workbookViewId="0">
      <selection activeCell="V8" sqref="V8"/>
    </sheetView>
  </sheetViews>
  <sheetFormatPr defaultRowHeight="14.4" x14ac:dyDescent="0.3"/>
  <cols>
    <col min="2" max="2" width="15.88671875" bestFit="1" customWidth="1"/>
    <col min="7" max="7" width="7.5546875" bestFit="1" customWidth="1"/>
    <col min="8" max="8" width="6.21875" bestFit="1" customWidth="1"/>
    <col min="9" max="9" width="5" bestFit="1" customWidth="1"/>
    <col min="10" max="10" width="6.5546875" customWidth="1"/>
    <col min="11" max="11" width="7" bestFit="1" customWidth="1"/>
    <col min="14" max="14" width="11.5546875" customWidth="1"/>
    <col min="15" max="15" width="11.77734375" customWidth="1"/>
    <col min="16" max="16" width="11.6640625" bestFit="1" customWidth="1"/>
    <col min="17" max="17" width="9.44140625" bestFit="1" customWidth="1"/>
    <col min="18" max="18" width="13.77734375" bestFit="1" customWidth="1"/>
    <col min="19" max="19" width="16" bestFit="1" customWidth="1"/>
    <col min="21" max="21" width="15.88671875" bestFit="1" customWidth="1"/>
    <col min="22" max="22" width="32.109375" bestFit="1" customWidth="1"/>
  </cols>
  <sheetData>
    <row r="2" spans="2:26" x14ac:dyDescent="0.3">
      <c r="B2" s="10" t="s">
        <v>32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/>
      <c r="U2" s="5"/>
      <c r="V2" s="5"/>
      <c r="W2" s="5"/>
      <c r="X2" s="5"/>
      <c r="Y2" s="5"/>
      <c r="Z2" s="5"/>
    </row>
    <row r="3" spans="2:26" ht="43.2" x14ac:dyDescent="0.3">
      <c r="B3" s="2" t="s">
        <v>0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3" t="s">
        <v>22</v>
      </c>
      <c r="N3" s="2" t="s">
        <v>10</v>
      </c>
      <c r="O3" s="2" t="s">
        <v>11</v>
      </c>
      <c r="P3" s="2" t="s">
        <v>23</v>
      </c>
      <c r="Q3" s="2" t="s">
        <v>24</v>
      </c>
      <c r="R3" s="2" t="s">
        <v>25</v>
      </c>
      <c r="S3" s="2" t="s">
        <v>26</v>
      </c>
      <c r="T3" s="1"/>
      <c r="U3" s="1"/>
      <c r="V3" s="1"/>
    </row>
    <row r="4" spans="2:26" x14ac:dyDescent="0.3">
      <c r="B4" s="2" t="s">
        <v>1</v>
      </c>
      <c r="C4" s="2">
        <v>11.45</v>
      </c>
      <c r="D4" s="2">
        <v>130.0033</v>
      </c>
      <c r="E4" s="2">
        <v>-47.317300000000003</v>
      </c>
      <c r="F4" s="2">
        <f>SQRT(D4^2+E4^2)</f>
        <v>138.34661141560352</v>
      </c>
      <c r="G4" s="2">
        <v>1373</v>
      </c>
      <c r="H4" s="2">
        <f>F4/2</f>
        <v>69.173305707801759</v>
      </c>
      <c r="I4" s="2">
        <f>F4/2</f>
        <v>69.173305707801759</v>
      </c>
      <c r="J4" s="2">
        <f>G4/2</f>
        <v>686.5</v>
      </c>
      <c r="K4" s="2">
        <f>G4/2</f>
        <v>686.5</v>
      </c>
      <c r="L4" s="7">
        <v>40</v>
      </c>
      <c r="M4" s="7">
        <v>1.2</v>
      </c>
      <c r="N4" s="6">
        <v>2.2999999999999998</v>
      </c>
      <c r="O4" s="6">
        <v>1.88</v>
      </c>
      <c r="P4" s="2">
        <v>1.7196</v>
      </c>
      <c r="Q4" s="2">
        <v>2.0708000000000002</v>
      </c>
      <c r="R4" s="2">
        <v>1.9271</v>
      </c>
      <c r="S4" s="2">
        <v>1.6848000000000001</v>
      </c>
      <c r="T4" s="1"/>
      <c r="U4" s="1"/>
    </row>
    <row r="5" spans="2:26" x14ac:dyDescent="0.3">
      <c r="B5" s="2" t="s">
        <v>2</v>
      </c>
      <c r="C5" s="2">
        <v>19.73</v>
      </c>
      <c r="D5" s="2">
        <v>224.01439999999999</v>
      </c>
      <c r="E5" s="2">
        <v>-81.534599999999998</v>
      </c>
      <c r="F5" s="2">
        <f t="shared" ref="F5:F14" si="0">SQRT(D5^2+E5^2)</f>
        <v>238.39115420778515</v>
      </c>
      <c r="G5" s="2">
        <v>1373</v>
      </c>
      <c r="H5" s="2">
        <f t="shared" ref="H5:H14" si="1">F5/2</f>
        <v>119.19557710389257</v>
      </c>
      <c r="I5" s="2">
        <f t="shared" ref="I5:I14" si="2">F5/2</f>
        <v>119.19557710389257</v>
      </c>
      <c r="J5" s="2">
        <f t="shared" ref="J5:J14" si="3">G5/2</f>
        <v>686.5</v>
      </c>
      <c r="K5" s="2">
        <f t="shared" ref="K5:K14" si="4">G5/2</f>
        <v>686.5</v>
      </c>
      <c r="L5" s="7">
        <v>47</v>
      </c>
      <c r="M5" s="7">
        <v>0.15</v>
      </c>
      <c r="N5" s="6">
        <v>5.4</v>
      </c>
      <c r="O5" s="6">
        <v>3.15</v>
      </c>
      <c r="P5" s="2">
        <v>1.7634000000000001</v>
      </c>
      <c r="Q5" s="2">
        <v>2.1204000000000001</v>
      </c>
      <c r="R5" s="2">
        <v>1.9773000000000001</v>
      </c>
      <c r="S5" s="2">
        <v>1.7282</v>
      </c>
      <c r="T5" s="1"/>
      <c r="U5" s="1"/>
    </row>
    <row r="6" spans="2:26" x14ac:dyDescent="0.3">
      <c r="B6" s="2" t="s">
        <v>3</v>
      </c>
      <c r="C6" s="2">
        <v>67.650000000000006</v>
      </c>
      <c r="D6" s="2">
        <v>389.8408</v>
      </c>
      <c r="E6" s="2">
        <v>-141.8904</v>
      </c>
      <c r="F6" s="2">
        <f t="shared" si="0"/>
        <v>414.85989798581403</v>
      </c>
      <c r="G6" s="2">
        <v>1373</v>
      </c>
      <c r="H6" s="2">
        <f t="shared" si="1"/>
        <v>207.42994899290701</v>
      </c>
      <c r="I6" s="2">
        <f t="shared" si="2"/>
        <v>207.42994899290701</v>
      </c>
      <c r="J6" s="2">
        <f t="shared" si="3"/>
        <v>686.5</v>
      </c>
      <c r="K6" s="2">
        <f t="shared" si="4"/>
        <v>686.5</v>
      </c>
      <c r="L6" s="7">
        <v>50</v>
      </c>
      <c r="M6" s="7">
        <v>0.9</v>
      </c>
      <c r="N6" s="6">
        <v>2.25</v>
      </c>
      <c r="O6" s="6">
        <v>3.15</v>
      </c>
      <c r="P6" s="2">
        <v>1.9811000000000001</v>
      </c>
      <c r="Q6" s="2">
        <v>2.3807999999999998</v>
      </c>
      <c r="R6" s="2">
        <v>2.2218</v>
      </c>
      <c r="S6" s="2">
        <v>1.9417</v>
      </c>
      <c r="T6" s="1"/>
      <c r="U6" s="1"/>
    </row>
    <row r="7" spans="2:26" x14ac:dyDescent="0.3">
      <c r="B7" s="2" t="s">
        <v>4</v>
      </c>
      <c r="C7" s="2">
        <v>116.5</v>
      </c>
      <c r="D7" s="2">
        <v>316.41210000000001</v>
      </c>
      <c r="E7" s="2">
        <v>-115.16459999999999</v>
      </c>
      <c r="F7" s="2">
        <f t="shared" si="0"/>
        <v>336.71872849541649</v>
      </c>
      <c r="G7" s="2">
        <v>1373</v>
      </c>
      <c r="H7" s="2">
        <f t="shared" si="1"/>
        <v>168.35936424770824</v>
      </c>
      <c r="I7" s="2">
        <f t="shared" si="2"/>
        <v>168.35936424770824</v>
      </c>
      <c r="J7" s="2">
        <f t="shared" si="3"/>
        <v>686.5</v>
      </c>
      <c r="K7" s="2">
        <f t="shared" si="4"/>
        <v>686.5</v>
      </c>
      <c r="L7" s="7">
        <v>50</v>
      </c>
      <c r="M7" s="7">
        <v>1.5</v>
      </c>
      <c r="N7" s="2">
        <v>2.2999999999999998</v>
      </c>
      <c r="O7" s="2">
        <v>1.8</v>
      </c>
      <c r="P7" s="2">
        <v>3.2589000000000001</v>
      </c>
      <c r="Q7" s="2">
        <v>3.9163999999999999</v>
      </c>
      <c r="R7" s="2">
        <v>3.6547999999999998</v>
      </c>
      <c r="S7" s="2">
        <v>3.1941999999999999</v>
      </c>
      <c r="T7" s="1"/>
      <c r="U7" s="1"/>
    </row>
    <row r="8" spans="2:26" x14ac:dyDescent="0.3">
      <c r="B8" s="2" t="s">
        <v>5</v>
      </c>
      <c r="C8" s="2">
        <v>151.5</v>
      </c>
      <c r="D8" s="2">
        <v>263.80200000000002</v>
      </c>
      <c r="E8" s="2">
        <v>-96.016099999999994</v>
      </c>
      <c r="F8" s="2">
        <f t="shared" si="0"/>
        <v>280.73223303213689</v>
      </c>
      <c r="G8" s="2">
        <v>1373</v>
      </c>
      <c r="H8" s="2">
        <f t="shared" si="1"/>
        <v>140.36611651606844</v>
      </c>
      <c r="I8" s="2">
        <f t="shared" si="2"/>
        <v>140.36611651606844</v>
      </c>
      <c r="J8" s="2">
        <f t="shared" si="3"/>
        <v>686.5</v>
      </c>
      <c r="K8" s="2">
        <f t="shared" si="4"/>
        <v>686.5</v>
      </c>
      <c r="L8" s="7">
        <v>60</v>
      </c>
      <c r="M8" s="7">
        <v>2</v>
      </c>
      <c r="N8" s="2">
        <v>2.2799999999999998</v>
      </c>
      <c r="O8" s="2">
        <v>1.75</v>
      </c>
      <c r="P8" s="2">
        <v>5.7306999999999997</v>
      </c>
      <c r="Q8" s="2">
        <v>6.8701999999999996</v>
      </c>
      <c r="R8" s="2">
        <v>6.4311999999999996</v>
      </c>
      <c r="S8" s="2">
        <v>5.6191000000000004</v>
      </c>
      <c r="T8" s="1"/>
      <c r="U8" s="1"/>
    </row>
    <row r="9" spans="2:26" x14ac:dyDescent="0.3">
      <c r="B9" s="2" t="s">
        <v>6</v>
      </c>
      <c r="C9" s="2">
        <v>163.5</v>
      </c>
      <c r="D9" s="2">
        <v>245.76429999999999</v>
      </c>
      <c r="E9" s="2">
        <v>-89.450900000000004</v>
      </c>
      <c r="F9" s="2">
        <f t="shared" si="0"/>
        <v>261.53690880122446</v>
      </c>
      <c r="G9" s="2">
        <v>1373</v>
      </c>
      <c r="H9" s="2">
        <f t="shared" si="1"/>
        <v>130.76845440061223</v>
      </c>
      <c r="I9" s="2">
        <f t="shared" si="2"/>
        <v>130.76845440061223</v>
      </c>
      <c r="J9" s="2">
        <f t="shared" si="3"/>
        <v>686.5</v>
      </c>
      <c r="K9" s="2">
        <f t="shared" si="4"/>
        <v>686.5</v>
      </c>
      <c r="L9" s="7">
        <v>70</v>
      </c>
      <c r="M9" s="7">
        <v>0.9</v>
      </c>
      <c r="N9" s="2">
        <v>2.75</v>
      </c>
      <c r="O9" s="2">
        <v>3.55</v>
      </c>
      <c r="P9" s="2">
        <v>4.7278000000000002</v>
      </c>
      <c r="Q9" s="2">
        <v>5.6555999999999997</v>
      </c>
      <c r="R9" s="2">
        <v>5.3082000000000003</v>
      </c>
      <c r="S9" s="2">
        <v>4.6374000000000004</v>
      </c>
      <c r="T9" s="1"/>
      <c r="U9" s="1"/>
    </row>
    <row r="10" spans="2:26" x14ac:dyDescent="0.3">
      <c r="B10" s="2" t="s">
        <v>5</v>
      </c>
      <c r="C10" s="2">
        <v>175.5</v>
      </c>
      <c r="D10" s="2">
        <v>227.72649999999999</v>
      </c>
      <c r="E10" s="2">
        <v>-82.8857</v>
      </c>
      <c r="F10" s="2">
        <f t="shared" si="0"/>
        <v>242.34149060105244</v>
      </c>
      <c r="G10" s="2">
        <v>1373</v>
      </c>
      <c r="H10" s="2">
        <f t="shared" si="1"/>
        <v>121.17074530052622</v>
      </c>
      <c r="I10" s="2">
        <f t="shared" si="2"/>
        <v>121.17074530052622</v>
      </c>
      <c r="J10" s="2">
        <f t="shared" si="3"/>
        <v>686.5</v>
      </c>
      <c r="K10" s="2">
        <f t="shared" si="4"/>
        <v>686.5</v>
      </c>
      <c r="L10" s="7">
        <v>60</v>
      </c>
      <c r="M10" s="7">
        <v>2</v>
      </c>
      <c r="N10" s="2">
        <v>2.2799999999999998</v>
      </c>
      <c r="O10" s="2">
        <v>1.75</v>
      </c>
      <c r="P10" s="2">
        <v>5.7927</v>
      </c>
      <c r="Q10" s="2">
        <v>6.9446000000000003</v>
      </c>
      <c r="R10" s="2">
        <v>6.5007999999999999</v>
      </c>
      <c r="S10" s="2">
        <v>5.6798999999999999</v>
      </c>
      <c r="T10" s="1"/>
      <c r="U10" s="1"/>
    </row>
    <row r="11" spans="2:26" x14ac:dyDescent="0.3">
      <c r="B11" s="2" t="s">
        <v>7</v>
      </c>
      <c r="C11" s="2">
        <v>210.5</v>
      </c>
      <c r="D11" s="7">
        <v>175.1164</v>
      </c>
      <c r="E11" s="7">
        <v>-63.737200000000001</v>
      </c>
      <c r="F11" s="2">
        <f t="shared" si="0"/>
        <v>186.35499513777461</v>
      </c>
      <c r="G11" s="2">
        <v>1373</v>
      </c>
      <c r="H11" s="2">
        <f t="shared" si="1"/>
        <v>93.177497568887304</v>
      </c>
      <c r="I11" s="2">
        <f t="shared" si="2"/>
        <v>93.177497568887304</v>
      </c>
      <c r="J11" s="2">
        <f t="shared" si="3"/>
        <v>686.5</v>
      </c>
      <c r="K11" s="2">
        <f t="shared" si="4"/>
        <v>686.5</v>
      </c>
      <c r="L11" s="7">
        <v>50</v>
      </c>
      <c r="M11" s="7">
        <v>1.5</v>
      </c>
      <c r="N11" s="2">
        <v>2.2999999999999998</v>
      </c>
      <c r="O11" s="2">
        <v>1.8</v>
      </c>
      <c r="P11" s="2">
        <v>3.3931</v>
      </c>
      <c r="Q11" s="2">
        <v>4.0774999999999997</v>
      </c>
      <c r="R11" s="2">
        <v>3.8052999999999999</v>
      </c>
      <c r="S11" s="2">
        <v>3.3256000000000001</v>
      </c>
      <c r="T11" s="1"/>
      <c r="U11" s="1"/>
    </row>
    <row r="12" spans="2:26" x14ac:dyDescent="0.3">
      <c r="B12" s="2" t="s">
        <v>8</v>
      </c>
      <c r="C12" s="2">
        <v>259.35000000000002</v>
      </c>
      <c r="D12" s="2">
        <v>101.6878</v>
      </c>
      <c r="E12" s="2">
        <v>-37.011299999999999</v>
      </c>
      <c r="F12" s="2">
        <f t="shared" si="0"/>
        <v>108.21388541462689</v>
      </c>
      <c r="G12" s="2">
        <v>1373</v>
      </c>
      <c r="H12" s="2">
        <f t="shared" si="1"/>
        <v>54.106942707313443</v>
      </c>
      <c r="I12" s="2">
        <f t="shared" si="2"/>
        <v>54.106942707313443</v>
      </c>
      <c r="J12" s="2">
        <f t="shared" si="3"/>
        <v>686.5</v>
      </c>
      <c r="K12" s="2">
        <f t="shared" si="4"/>
        <v>686.5</v>
      </c>
      <c r="L12" s="7">
        <v>50</v>
      </c>
      <c r="M12" s="7">
        <v>0.9</v>
      </c>
      <c r="N12" s="6">
        <v>2.25</v>
      </c>
      <c r="O12" s="6">
        <v>3.15</v>
      </c>
      <c r="P12" s="2">
        <v>2.0373999999999999</v>
      </c>
      <c r="Q12" s="2">
        <v>2.4483999999999999</v>
      </c>
      <c r="R12" s="2">
        <v>2.2848999999999999</v>
      </c>
      <c r="S12" s="2">
        <v>1.9968999999999999</v>
      </c>
      <c r="T12" s="1"/>
      <c r="U12" s="1"/>
    </row>
    <row r="13" spans="2:26" x14ac:dyDescent="0.3">
      <c r="B13" s="2" t="s">
        <v>2</v>
      </c>
      <c r="C13" s="2">
        <v>307.27999999999997</v>
      </c>
      <c r="D13" s="2">
        <v>29.641999999999999</v>
      </c>
      <c r="E13" s="2">
        <v>-10.7888</v>
      </c>
      <c r="F13" s="2">
        <f t="shared" si="0"/>
        <v>31.544355587648322</v>
      </c>
      <c r="G13" s="2">
        <v>1373</v>
      </c>
      <c r="H13" s="2">
        <f t="shared" si="1"/>
        <v>15.772177793824161</v>
      </c>
      <c r="I13" s="2">
        <f t="shared" si="2"/>
        <v>15.772177793824161</v>
      </c>
      <c r="J13" s="2">
        <f t="shared" si="3"/>
        <v>686.5</v>
      </c>
      <c r="K13" s="2">
        <f t="shared" si="4"/>
        <v>686.5</v>
      </c>
      <c r="L13" s="7">
        <v>47</v>
      </c>
      <c r="M13" s="7">
        <v>0.15</v>
      </c>
      <c r="N13" s="6">
        <v>5.4</v>
      </c>
      <c r="O13" s="6">
        <v>3.15</v>
      </c>
      <c r="P13" s="2">
        <v>1.8495999999999999</v>
      </c>
      <c r="Q13" s="2">
        <v>2.2240000000000002</v>
      </c>
      <c r="R13" s="2">
        <v>2.0739000000000001</v>
      </c>
      <c r="S13" s="2">
        <v>1.8127</v>
      </c>
      <c r="T13" s="1"/>
      <c r="U13" s="1"/>
    </row>
    <row r="14" spans="2:26" x14ac:dyDescent="0.3">
      <c r="B14" s="8" t="s">
        <v>9</v>
      </c>
      <c r="C14" s="8">
        <v>315.55</v>
      </c>
      <c r="D14" s="8">
        <v>17.210999999999999</v>
      </c>
      <c r="E14" s="8">
        <v>-6.2643000000000004</v>
      </c>
      <c r="F14" s="8">
        <f t="shared" si="0"/>
        <v>18.315566480182916</v>
      </c>
      <c r="G14" s="8">
        <v>1373</v>
      </c>
      <c r="H14" s="8">
        <f t="shared" si="1"/>
        <v>9.1577832400914581</v>
      </c>
      <c r="I14" s="8">
        <f t="shared" si="2"/>
        <v>9.1577832400914581</v>
      </c>
      <c r="J14" s="8">
        <f t="shared" si="3"/>
        <v>686.5</v>
      </c>
      <c r="K14" s="8">
        <f t="shared" si="4"/>
        <v>686.5</v>
      </c>
      <c r="L14" s="9">
        <v>40</v>
      </c>
      <c r="M14" s="9">
        <v>1.2</v>
      </c>
      <c r="N14" s="11">
        <v>2.2999999999999998</v>
      </c>
      <c r="O14" s="11">
        <v>1.88</v>
      </c>
      <c r="P14" s="8">
        <v>1.7359</v>
      </c>
      <c r="Q14" s="8">
        <v>2.0905</v>
      </c>
      <c r="R14" s="8">
        <v>1.9454</v>
      </c>
      <c r="S14" s="8">
        <v>1.7008000000000001</v>
      </c>
      <c r="T14" s="1"/>
      <c r="U14" s="1"/>
      <c r="W14" s="1"/>
      <c r="X14" s="1"/>
      <c r="Y14" s="1"/>
      <c r="Z14" s="1"/>
    </row>
    <row r="15" spans="2:26" x14ac:dyDescent="0.3">
      <c r="B15" s="1"/>
      <c r="C15" s="1"/>
      <c r="D15" s="1"/>
      <c r="E15" s="1"/>
      <c r="F15" s="1"/>
      <c r="G15" s="1"/>
      <c r="H15" s="1"/>
      <c r="N15" s="1"/>
      <c r="O15" s="1"/>
      <c r="P15" s="1"/>
      <c r="Q15" s="1"/>
      <c r="R15" s="1"/>
      <c r="S15" s="1"/>
      <c r="T15" s="1"/>
      <c r="U15" s="1"/>
      <c r="W15" s="1"/>
      <c r="X15" s="1"/>
      <c r="Y15" s="1"/>
      <c r="Z15" s="1"/>
    </row>
    <row r="16" spans="2:26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1"/>
      <c r="U16" s="1"/>
      <c r="W16" s="1"/>
      <c r="X16" s="1"/>
      <c r="Y16" s="1"/>
      <c r="Z16" s="1"/>
    </row>
    <row r="17" spans="2:26" x14ac:dyDescent="0.3">
      <c r="B17" s="10" t="s">
        <v>27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"/>
      <c r="U17" s="1"/>
      <c r="W17" s="1"/>
      <c r="X17" s="1"/>
      <c r="Y17" s="1"/>
      <c r="Z17" s="1"/>
    </row>
    <row r="18" spans="2:26" ht="43.2" x14ac:dyDescent="0.3">
      <c r="B18" s="2" t="s">
        <v>0</v>
      </c>
      <c r="C18" s="3" t="s">
        <v>12</v>
      </c>
      <c r="D18" s="3" t="s">
        <v>13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 t="s">
        <v>19</v>
      </c>
      <c r="K18" s="3" t="s">
        <v>20</v>
      </c>
      <c r="L18" s="3" t="s">
        <v>21</v>
      </c>
      <c r="M18" s="3" t="s">
        <v>22</v>
      </c>
      <c r="N18" s="2" t="s">
        <v>10</v>
      </c>
      <c r="O18" s="2" t="s">
        <v>11</v>
      </c>
      <c r="P18" s="2" t="s">
        <v>23</v>
      </c>
      <c r="Q18" s="2" t="s">
        <v>24</v>
      </c>
      <c r="R18" s="2" t="s">
        <v>25</v>
      </c>
      <c r="S18" s="2" t="s">
        <v>26</v>
      </c>
      <c r="T18" s="1"/>
      <c r="U18" s="1"/>
    </row>
    <row r="19" spans="2:26" x14ac:dyDescent="0.3">
      <c r="B19" s="2" t="s">
        <v>1</v>
      </c>
      <c r="C19" s="2">
        <v>11.45</v>
      </c>
      <c r="D19" s="2">
        <v>-98.580200000000005</v>
      </c>
      <c r="E19" s="2">
        <v>35.880299999999998</v>
      </c>
      <c r="F19" s="2">
        <f>SQRT(D19^2+E19^2)</f>
        <v>104.90687184417426</v>
      </c>
      <c r="G19" s="6">
        <f>450*3.238</f>
        <v>1457.1</v>
      </c>
      <c r="H19" s="2">
        <f>F19/2</f>
        <v>52.453435922087131</v>
      </c>
      <c r="I19" s="2">
        <f>F19/2</f>
        <v>52.453435922087131</v>
      </c>
      <c r="J19" s="2">
        <f>G19/2</f>
        <v>728.55</v>
      </c>
      <c r="K19" s="2">
        <f>G19/2</f>
        <v>728.55</v>
      </c>
      <c r="L19" s="2">
        <v>40</v>
      </c>
      <c r="M19" s="2">
        <v>1.2</v>
      </c>
      <c r="N19" s="6">
        <v>2.2999999999999998</v>
      </c>
      <c r="O19" s="6">
        <v>1.88</v>
      </c>
      <c r="P19" s="2">
        <v>1.6279999999999999</v>
      </c>
      <c r="Q19" s="2">
        <v>1.9603999999999999</v>
      </c>
      <c r="R19" s="2">
        <v>1.8244</v>
      </c>
      <c r="S19" s="2">
        <v>1.595</v>
      </c>
      <c r="T19" s="1"/>
      <c r="U19" s="1"/>
    </row>
    <row r="20" spans="2:26" x14ac:dyDescent="0.3">
      <c r="B20" s="2" t="s">
        <v>2</v>
      </c>
      <c r="C20" s="2">
        <v>19.73</v>
      </c>
      <c r="D20" s="2">
        <v>-169.86789999999999</v>
      </c>
      <c r="E20" s="2">
        <v>61.826900000000002</v>
      </c>
      <c r="F20" s="2">
        <f t="shared" ref="F20:F29" si="5">SQRT(D20^2+E20^2)</f>
        <v>180.76965733778442</v>
      </c>
      <c r="G20" s="6">
        <f t="shared" ref="G20:G29" si="6">450*3.238</f>
        <v>1457.1</v>
      </c>
      <c r="H20" s="2">
        <f t="shared" ref="H20:H29" si="7">F20/2</f>
        <v>90.384828668892212</v>
      </c>
      <c r="I20" s="2">
        <f t="shared" ref="I20:I29" si="8">F20/2</f>
        <v>90.384828668892212</v>
      </c>
      <c r="J20" s="2">
        <f t="shared" ref="J20:J29" si="9">G20/2</f>
        <v>728.55</v>
      </c>
      <c r="K20" s="2">
        <f t="shared" ref="K20:K29" si="10">G20/2</f>
        <v>728.55</v>
      </c>
      <c r="L20" s="2">
        <v>47</v>
      </c>
      <c r="M20" s="2">
        <v>0.15</v>
      </c>
      <c r="N20" s="6">
        <v>5.4</v>
      </c>
      <c r="O20" s="6">
        <v>3.15</v>
      </c>
      <c r="P20" s="2">
        <v>1.7007000000000001</v>
      </c>
      <c r="Q20" s="2">
        <v>2.0449000000000002</v>
      </c>
      <c r="R20" s="2">
        <v>1.9069</v>
      </c>
      <c r="S20" s="2">
        <v>1.6667000000000001</v>
      </c>
      <c r="T20" s="1"/>
      <c r="U20" s="1"/>
    </row>
    <row r="21" spans="2:26" x14ac:dyDescent="0.3">
      <c r="B21" s="2" t="s">
        <v>3</v>
      </c>
      <c r="C21" s="2">
        <v>67.650000000000006</v>
      </c>
      <c r="D21" s="2">
        <v>-582.44100000000003</v>
      </c>
      <c r="E21" s="2">
        <v>211.99119999999999</v>
      </c>
      <c r="F21" s="2">
        <f t="shared" si="5"/>
        <v>619.82077035094596</v>
      </c>
      <c r="G21" s="6">
        <f t="shared" si="6"/>
        <v>1457.1</v>
      </c>
      <c r="H21" s="2">
        <f t="shared" si="7"/>
        <v>309.91038517547298</v>
      </c>
      <c r="I21" s="2">
        <f t="shared" si="8"/>
        <v>309.91038517547298</v>
      </c>
      <c r="J21" s="2">
        <f t="shared" si="9"/>
        <v>728.55</v>
      </c>
      <c r="K21" s="2">
        <f t="shared" si="10"/>
        <v>728.55</v>
      </c>
      <c r="L21" s="2">
        <v>50</v>
      </c>
      <c r="M21" s="2">
        <v>0.9</v>
      </c>
      <c r="N21" s="6">
        <v>2.25</v>
      </c>
      <c r="O21" s="6">
        <v>3.15</v>
      </c>
      <c r="P21" s="2">
        <v>1.8153999999999999</v>
      </c>
      <c r="Q21" s="2">
        <v>2.1816</v>
      </c>
      <c r="R21" s="2">
        <v>2.036</v>
      </c>
      <c r="S21" s="2">
        <v>1.7793000000000001</v>
      </c>
      <c r="T21" s="1"/>
      <c r="U21" s="1"/>
    </row>
    <row r="22" spans="2:26" x14ac:dyDescent="0.3">
      <c r="B22" s="2" t="s">
        <v>4</v>
      </c>
      <c r="C22" s="2">
        <v>116.5</v>
      </c>
      <c r="D22" s="2">
        <v>-765.22519999999997</v>
      </c>
      <c r="E22" s="2">
        <v>278.51920000000001</v>
      </c>
      <c r="F22" s="2">
        <f t="shared" si="5"/>
        <v>814.33565038237145</v>
      </c>
      <c r="G22" s="6">
        <f t="shared" si="6"/>
        <v>1457.1</v>
      </c>
      <c r="H22" s="2">
        <f t="shared" si="7"/>
        <v>407.16782519118573</v>
      </c>
      <c r="I22" s="2">
        <f t="shared" si="8"/>
        <v>407.16782519118573</v>
      </c>
      <c r="J22" s="2">
        <f t="shared" si="9"/>
        <v>728.55</v>
      </c>
      <c r="K22" s="2">
        <f t="shared" si="10"/>
        <v>728.55</v>
      </c>
      <c r="L22" s="2">
        <v>50</v>
      </c>
      <c r="M22" s="2">
        <v>1.5</v>
      </c>
      <c r="N22" s="2">
        <v>2.2999999999999998</v>
      </c>
      <c r="O22" s="2">
        <v>1.8</v>
      </c>
      <c r="P22" s="2">
        <v>2.5341</v>
      </c>
      <c r="Q22" s="2">
        <v>3.0453000000000001</v>
      </c>
      <c r="R22" s="2">
        <v>2.8420000000000001</v>
      </c>
      <c r="S22" s="2">
        <v>2.4836999999999998</v>
      </c>
      <c r="T22" s="1"/>
      <c r="U22" s="1"/>
      <c r="V22" s="1"/>
    </row>
    <row r="23" spans="2:26" x14ac:dyDescent="0.3">
      <c r="B23" s="2" t="s">
        <v>5</v>
      </c>
      <c r="C23" s="2">
        <v>151.5</v>
      </c>
      <c r="D23" s="2">
        <v>-637.99059999999997</v>
      </c>
      <c r="E23" s="2">
        <v>232.20959999999999</v>
      </c>
      <c r="F23" s="2">
        <f t="shared" si="5"/>
        <v>678.93541962437041</v>
      </c>
      <c r="G23" s="6">
        <f t="shared" si="6"/>
        <v>1457.1</v>
      </c>
      <c r="H23" s="2">
        <f t="shared" si="7"/>
        <v>339.46770981218521</v>
      </c>
      <c r="I23" s="2">
        <f t="shared" si="8"/>
        <v>339.46770981218521</v>
      </c>
      <c r="J23" s="2">
        <f t="shared" si="9"/>
        <v>728.55</v>
      </c>
      <c r="K23" s="2">
        <f t="shared" si="10"/>
        <v>728.55</v>
      </c>
      <c r="L23" s="2">
        <v>60</v>
      </c>
      <c r="M23" s="2">
        <v>2</v>
      </c>
      <c r="N23" s="2">
        <v>2.2799999999999998</v>
      </c>
      <c r="O23" s="2">
        <v>1.75</v>
      </c>
      <c r="P23" s="2">
        <v>4.6467000000000001</v>
      </c>
      <c r="Q23" s="2">
        <v>5.5707000000000004</v>
      </c>
      <c r="R23" s="2">
        <v>5.2146999999999997</v>
      </c>
      <c r="S23" s="2">
        <v>4.5561999999999996</v>
      </c>
      <c r="T23" s="1"/>
      <c r="U23" s="1"/>
      <c r="V23" s="1"/>
    </row>
    <row r="24" spans="2:26" x14ac:dyDescent="0.3">
      <c r="B24" s="2" t="s">
        <v>6</v>
      </c>
      <c r="C24" s="2">
        <v>163.5</v>
      </c>
      <c r="D24" s="2">
        <v>-594.3673</v>
      </c>
      <c r="E24" s="2">
        <v>216.33199999999999</v>
      </c>
      <c r="F24" s="2">
        <f t="shared" si="5"/>
        <v>632.51246749237282</v>
      </c>
      <c r="G24" s="6">
        <f t="shared" si="6"/>
        <v>1457.1</v>
      </c>
      <c r="H24" s="2">
        <f t="shared" si="7"/>
        <v>316.25623374618641</v>
      </c>
      <c r="I24" s="2">
        <f t="shared" si="8"/>
        <v>316.25623374618641</v>
      </c>
      <c r="J24" s="2">
        <f t="shared" si="9"/>
        <v>728.55</v>
      </c>
      <c r="K24" s="2">
        <f t="shared" si="10"/>
        <v>728.55</v>
      </c>
      <c r="L24" s="2">
        <v>70</v>
      </c>
      <c r="M24" s="2">
        <v>0.9</v>
      </c>
      <c r="N24" s="2">
        <v>2.75</v>
      </c>
      <c r="O24" s="2">
        <v>3.55</v>
      </c>
      <c r="P24" s="2">
        <v>4.2157</v>
      </c>
      <c r="Q24" s="2">
        <v>5.0430000000000001</v>
      </c>
      <c r="R24" s="2">
        <v>4.7332000000000001</v>
      </c>
      <c r="S24" s="2">
        <v>4.1351000000000004</v>
      </c>
      <c r="T24" s="1"/>
      <c r="U24" s="1"/>
    </row>
    <row r="25" spans="2:26" x14ac:dyDescent="0.3">
      <c r="B25" s="2" t="s">
        <v>5</v>
      </c>
      <c r="C25" s="2">
        <v>175.5</v>
      </c>
      <c r="D25" s="2">
        <v>-550.7441</v>
      </c>
      <c r="E25" s="2">
        <v>200.45439999999999</v>
      </c>
      <c r="F25" s="2">
        <f t="shared" si="5"/>
        <v>586.08960932963998</v>
      </c>
      <c r="G25" s="6">
        <f t="shared" si="6"/>
        <v>1457.1</v>
      </c>
      <c r="H25" s="2">
        <f t="shared" si="7"/>
        <v>293.04480466481999</v>
      </c>
      <c r="I25" s="2">
        <f t="shared" si="8"/>
        <v>293.04480466481999</v>
      </c>
      <c r="J25" s="2">
        <f t="shared" si="9"/>
        <v>728.55</v>
      </c>
      <c r="K25" s="2">
        <f t="shared" si="10"/>
        <v>728.55</v>
      </c>
      <c r="L25" s="2">
        <v>60</v>
      </c>
      <c r="M25" s="2">
        <v>2</v>
      </c>
      <c r="N25" s="2">
        <v>2.2799999999999998</v>
      </c>
      <c r="O25" s="2">
        <v>1.75</v>
      </c>
      <c r="P25" s="2">
        <v>4.8494999999999999</v>
      </c>
      <c r="Q25" s="2">
        <v>5.8137999999999996</v>
      </c>
      <c r="R25" s="2">
        <v>5.4423000000000004</v>
      </c>
      <c r="S25" s="2">
        <v>4.7550999999999997</v>
      </c>
      <c r="T25" s="1"/>
      <c r="U25" s="1"/>
    </row>
    <row r="26" spans="2:26" x14ac:dyDescent="0.3">
      <c r="B26" s="2" t="s">
        <v>7</v>
      </c>
      <c r="C26" s="2">
        <v>210.5</v>
      </c>
      <c r="D26" s="2">
        <v>-423.5095</v>
      </c>
      <c r="E26" s="2">
        <v>154.1448</v>
      </c>
      <c r="F26" s="2">
        <f t="shared" si="5"/>
        <v>450.68937857163888</v>
      </c>
      <c r="G26" s="6">
        <f t="shared" si="6"/>
        <v>1457.1</v>
      </c>
      <c r="H26" s="2">
        <f t="shared" si="7"/>
        <v>225.34468928581944</v>
      </c>
      <c r="I26" s="2">
        <f t="shared" si="8"/>
        <v>225.34468928581944</v>
      </c>
      <c r="J26" s="2">
        <f t="shared" si="9"/>
        <v>728.55</v>
      </c>
      <c r="K26" s="2">
        <f t="shared" si="10"/>
        <v>728.55</v>
      </c>
      <c r="L26" s="2">
        <v>50</v>
      </c>
      <c r="M26" s="2">
        <v>1.5</v>
      </c>
      <c r="N26" s="2">
        <v>2.2999999999999998</v>
      </c>
      <c r="O26" s="2">
        <v>1.8</v>
      </c>
      <c r="P26" s="2">
        <v>2.9742999999999999</v>
      </c>
      <c r="Q26" s="2">
        <v>3.5743</v>
      </c>
      <c r="R26" s="2">
        <v>3.3355999999999999</v>
      </c>
      <c r="S26" s="2">
        <v>2.9150999999999998</v>
      </c>
      <c r="T26" s="1"/>
      <c r="U26" s="1"/>
    </row>
    <row r="27" spans="2:26" x14ac:dyDescent="0.3">
      <c r="B27" s="2" t="s">
        <v>8</v>
      </c>
      <c r="C27" s="2">
        <v>259.35000000000002</v>
      </c>
      <c r="D27" s="2">
        <v>-245.9263</v>
      </c>
      <c r="E27" s="2">
        <v>89.509900000000002</v>
      </c>
      <c r="F27" s="2">
        <f t="shared" si="5"/>
        <v>261.70931819425152</v>
      </c>
      <c r="G27" s="6">
        <f t="shared" si="6"/>
        <v>1457.1</v>
      </c>
      <c r="H27" s="2">
        <f t="shared" si="7"/>
        <v>130.85465909712576</v>
      </c>
      <c r="I27" s="2">
        <f t="shared" si="8"/>
        <v>130.85465909712576</v>
      </c>
      <c r="J27" s="2">
        <f t="shared" si="9"/>
        <v>728.55</v>
      </c>
      <c r="K27" s="2">
        <f t="shared" si="10"/>
        <v>728.55</v>
      </c>
      <c r="L27" s="2">
        <v>50</v>
      </c>
      <c r="M27" s="2">
        <v>0.9</v>
      </c>
      <c r="N27" s="6">
        <v>2.25</v>
      </c>
      <c r="O27" s="6">
        <v>3.15</v>
      </c>
      <c r="P27" s="2">
        <v>1.9031</v>
      </c>
      <c r="Q27" s="2">
        <v>2.2869999999999999</v>
      </c>
      <c r="R27" s="2">
        <v>2.1343000000000001</v>
      </c>
      <c r="S27" s="2">
        <v>1.8652</v>
      </c>
      <c r="T27" s="1"/>
      <c r="U27" s="1"/>
    </row>
    <row r="28" spans="2:26" x14ac:dyDescent="0.3">
      <c r="B28" s="2" t="s">
        <v>2</v>
      </c>
      <c r="C28" s="2">
        <v>307.27999999999997</v>
      </c>
      <c r="D28" s="2">
        <v>-71.687600000000003</v>
      </c>
      <c r="E28" s="2">
        <v>26.092199999999998</v>
      </c>
      <c r="F28" s="2">
        <f t="shared" si="5"/>
        <v>76.28836670554692</v>
      </c>
      <c r="G28" s="6">
        <f t="shared" si="6"/>
        <v>1457.1</v>
      </c>
      <c r="H28" s="2">
        <f t="shared" si="7"/>
        <v>38.14418335277346</v>
      </c>
      <c r="I28" s="2">
        <f t="shared" si="8"/>
        <v>38.14418335277346</v>
      </c>
      <c r="J28" s="2">
        <f t="shared" si="9"/>
        <v>728.55</v>
      </c>
      <c r="K28" s="2">
        <f t="shared" si="10"/>
        <v>728.55</v>
      </c>
      <c r="L28" s="2">
        <v>47</v>
      </c>
      <c r="M28" s="2">
        <v>0.15</v>
      </c>
      <c r="N28" s="6">
        <v>5.4</v>
      </c>
      <c r="O28" s="6">
        <v>3.15</v>
      </c>
      <c r="P28" s="2">
        <v>1.7363999999999999</v>
      </c>
      <c r="Q28" s="2">
        <v>2.0878999999999999</v>
      </c>
      <c r="R28" s="2">
        <v>1.9470000000000001</v>
      </c>
      <c r="S28" s="2">
        <v>1.7017</v>
      </c>
    </row>
    <row r="29" spans="2:26" x14ac:dyDescent="0.3">
      <c r="B29" s="8" t="s">
        <v>9</v>
      </c>
      <c r="C29" s="8">
        <v>315.55</v>
      </c>
      <c r="D29" s="8">
        <v>-41.623899999999999</v>
      </c>
      <c r="E29" s="8">
        <v>15.149900000000001</v>
      </c>
      <c r="F29" s="8">
        <f t="shared" si="5"/>
        <v>44.295242647715568</v>
      </c>
      <c r="G29" s="11">
        <f t="shared" si="6"/>
        <v>1457.1</v>
      </c>
      <c r="H29" s="8">
        <f t="shared" si="7"/>
        <v>22.147621323857784</v>
      </c>
      <c r="I29" s="8">
        <f t="shared" si="8"/>
        <v>22.147621323857784</v>
      </c>
      <c r="J29" s="8">
        <f t="shared" si="9"/>
        <v>728.55</v>
      </c>
      <c r="K29" s="8">
        <f t="shared" si="10"/>
        <v>728.55</v>
      </c>
      <c r="L29" s="8">
        <v>40</v>
      </c>
      <c r="M29" s="8">
        <v>1.2</v>
      </c>
      <c r="N29" s="11">
        <v>2.2999999999999998</v>
      </c>
      <c r="O29" s="11">
        <v>1.88</v>
      </c>
      <c r="P29" s="8">
        <v>1.6346000000000001</v>
      </c>
      <c r="Q29" s="8">
        <v>1.9683999999999999</v>
      </c>
      <c r="R29" s="8">
        <v>1.8318000000000001</v>
      </c>
      <c r="S29" s="8">
        <v>1.6014999999999999</v>
      </c>
    </row>
    <row r="30" spans="2:26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4"/>
      <c r="N30" s="4"/>
      <c r="O30" s="4"/>
      <c r="P30" s="1"/>
      <c r="Q30" s="1"/>
      <c r="R30" s="1"/>
      <c r="S30" s="1"/>
    </row>
    <row r="31" spans="2:26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4"/>
      <c r="N31" s="4"/>
      <c r="O31" s="4"/>
      <c r="P31" s="1"/>
      <c r="Q31" s="1"/>
      <c r="R31" s="1"/>
      <c r="S31" s="1"/>
    </row>
    <row r="32" spans="2:26" x14ac:dyDescent="0.3">
      <c r="B32" s="10" t="s">
        <v>28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2:19" ht="43.2" x14ac:dyDescent="0.3">
      <c r="B33" s="2" t="s">
        <v>0</v>
      </c>
      <c r="C33" s="3" t="s">
        <v>12</v>
      </c>
      <c r="D33" s="3" t="s">
        <v>13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 t="s">
        <v>19</v>
      </c>
      <c r="K33" s="3" t="s">
        <v>20</v>
      </c>
      <c r="L33" s="3" t="s">
        <v>21</v>
      </c>
      <c r="M33" s="3" t="s">
        <v>22</v>
      </c>
      <c r="N33" s="2" t="s">
        <v>10</v>
      </c>
      <c r="O33" s="2" t="s">
        <v>11</v>
      </c>
      <c r="P33" s="2" t="s">
        <v>23</v>
      </c>
      <c r="Q33" s="2" t="s">
        <v>24</v>
      </c>
      <c r="R33" s="2" t="s">
        <v>25</v>
      </c>
      <c r="S33" s="2" t="s">
        <v>26</v>
      </c>
    </row>
    <row r="34" spans="2:19" x14ac:dyDescent="0.3">
      <c r="B34" s="2" t="s">
        <v>1</v>
      </c>
      <c r="C34" s="2">
        <v>11.45</v>
      </c>
      <c r="D34" s="2">
        <v>-72.406599999999997</v>
      </c>
      <c r="E34" s="2">
        <v>26.353899999999999</v>
      </c>
      <c r="F34" s="2">
        <f>SQRT(D34^2+E34^2)</f>
        <v>77.053512371403286</v>
      </c>
      <c r="G34" s="2">
        <f>2.7083*450</f>
        <v>1218.7349999999999</v>
      </c>
      <c r="H34" s="2">
        <f>F34/2</f>
        <v>38.526756185701643</v>
      </c>
      <c r="I34" s="2">
        <f>F34/2</f>
        <v>38.526756185701643</v>
      </c>
      <c r="J34" s="2">
        <f>G34/2</f>
        <v>609.36749999999995</v>
      </c>
      <c r="K34" s="2">
        <f>G34/2</f>
        <v>609.36749999999995</v>
      </c>
      <c r="L34" s="2">
        <v>40</v>
      </c>
      <c r="M34" s="2">
        <v>1.2</v>
      </c>
      <c r="N34" s="6">
        <v>2.2999999999999998</v>
      </c>
      <c r="O34" s="6">
        <v>1.88</v>
      </c>
      <c r="P34" s="2">
        <v>1.9486000000000001</v>
      </c>
      <c r="Q34" s="2">
        <v>2.3466</v>
      </c>
      <c r="R34" s="2">
        <v>2.1838000000000002</v>
      </c>
      <c r="S34" s="2">
        <v>1.9092</v>
      </c>
    </row>
    <row r="35" spans="2:19" x14ac:dyDescent="0.3">
      <c r="B35" s="2" t="s">
        <v>2</v>
      </c>
      <c r="C35" s="2">
        <v>19.73</v>
      </c>
      <c r="D35" s="2">
        <v>-124.767</v>
      </c>
      <c r="E35" s="2">
        <v>45.411499999999997</v>
      </c>
      <c r="F35" s="2">
        <f t="shared" ref="F35:F44" si="11">SQRT(D35^2+E35^2)</f>
        <v>132.77427695623123</v>
      </c>
      <c r="G35" s="2">
        <f t="shared" ref="G35:G44" si="12">2.7083*450</f>
        <v>1218.7349999999999</v>
      </c>
      <c r="H35" s="2">
        <f t="shared" ref="H35:H44" si="13">F35/2</f>
        <v>66.387138478115617</v>
      </c>
      <c r="I35" s="2">
        <f t="shared" ref="I35:I44" si="14">F35/2</f>
        <v>66.387138478115617</v>
      </c>
      <c r="J35" s="2">
        <f t="shared" ref="J35:J44" si="15">G35/2</f>
        <v>609.36749999999995</v>
      </c>
      <c r="K35" s="2">
        <f t="shared" ref="K35:K44" si="16">G35/2</f>
        <v>609.36749999999995</v>
      </c>
      <c r="L35" s="2">
        <v>47</v>
      </c>
      <c r="M35" s="2">
        <v>0.15</v>
      </c>
      <c r="N35" s="6">
        <v>5.4</v>
      </c>
      <c r="O35" s="6">
        <v>3.15</v>
      </c>
      <c r="P35" s="2">
        <v>2.0449999999999999</v>
      </c>
      <c r="Q35" s="2">
        <v>2.4588999999999999</v>
      </c>
      <c r="R35" s="2">
        <v>2.2930000000000001</v>
      </c>
      <c r="S35" s="2">
        <v>2.0041000000000002</v>
      </c>
    </row>
    <row r="36" spans="2:19" x14ac:dyDescent="0.3">
      <c r="B36" s="2" t="s">
        <v>3</v>
      </c>
      <c r="C36" s="2">
        <v>67.650000000000006</v>
      </c>
      <c r="D36" s="2">
        <v>-427.7998</v>
      </c>
      <c r="E36" s="2">
        <v>155.7064</v>
      </c>
      <c r="F36" s="2">
        <f t="shared" si="11"/>
        <v>455.25504047841139</v>
      </c>
      <c r="G36" s="2">
        <f t="shared" si="12"/>
        <v>1218.7349999999999</v>
      </c>
      <c r="H36" s="2">
        <f t="shared" si="13"/>
        <v>227.62752023920569</v>
      </c>
      <c r="I36" s="2">
        <f t="shared" si="14"/>
        <v>227.62752023920569</v>
      </c>
      <c r="J36" s="2">
        <f t="shared" si="15"/>
        <v>609.36749999999995</v>
      </c>
      <c r="K36" s="2">
        <f t="shared" si="16"/>
        <v>609.36749999999995</v>
      </c>
      <c r="L36" s="2">
        <v>50</v>
      </c>
      <c r="M36" s="2">
        <v>0.9</v>
      </c>
      <c r="N36" s="6">
        <v>2.25</v>
      </c>
      <c r="O36" s="6">
        <v>3.15</v>
      </c>
      <c r="P36" s="2">
        <v>2.1983000000000001</v>
      </c>
      <c r="Q36" s="2">
        <v>2.6417000000000002</v>
      </c>
      <c r="R36" s="2">
        <v>2.4653</v>
      </c>
      <c r="S36" s="2">
        <v>2.1545999999999998</v>
      </c>
    </row>
    <row r="37" spans="2:19" x14ac:dyDescent="0.3">
      <c r="B37" s="2" t="s">
        <v>4</v>
      </c>
      <c r="C37" s="2">
        <v>116.5</v>
      </c>
      <c r="D37" s="2">
        <v>-736.71360000000004</v>
      </c>
      <c r="E37" s="2">
        <v>268.14179999999999</v>
      </c>
      <c r="F37" s="2">
        <f t="shared" si="11"/>
        <v>783.99423042022454</v>
      </c>
      <c r="G37" s="2">
        <f t="shared" si="12"/>
        <v>1218.7349999999999</v>
      </c>
      <c r="H37" s="2">
        <f t="shared" si="13"/>
        <v>391.99711521011227</v>
      </c>
      <c r="I37" s="2">
        <f t="shared" si="14"/>
        <v>391.99711521011227</v>
      </c>
      <c r="J37" s="2">
        <f t="shared" si="15"/>
        <v>609.36749999999995</v>
      </c>
      <c r="K37" s="2">
        <f t="shared" si="16"/>
        <v>609.36749999999995</v>
      </c>
      <c r="L37" s="2">
        <v>50</v>
      </c>
      <c r="M37" s="2">
        <v>1.5</v>
      </c>
      <c r="N37" s="2">
        <v>2.2999999999999998</v>
      </c>
      <c r="O37" s="2">
        <v>1.8</v>
      </c>
      <c r="P37" s="2">
        <v>2.8523000000000001</v>
      </c>
      <c r="Q37" s="2">
        <v>3.4276</v>
      </c>
      <c r="R37" s="2">
        <v>3.1987999999999999</v>
      </c>
      <c r="S37" s="2">
        <v>2.7955999999999999</v>
      </c>
    </row>
    <row r="38" spans="2:19" x14ac:dyDescent="0.3">
      <c r="B38" s="2" t="s">
        <v>5</v>
      </c>
      <c r="C38" s="2">
        <v>151.5</v>
      </c>
      <c r="D38" s="2">
        <v>-770.54390000000001</v>
      </c>
      <c r="E38" s="2">
        <v>280.45499999999998</v>
      </c>
      <c r="F38" s="2">
        <f t="shared" si="11"/>
        <v>819.99567611799637</v>
      </c>
      <c r="G38" s="2">
        <f t="shared" si="12"/>
        <v>1218.7349999999999</v>
      </c>
      <c r="H38" s="2">
        <f t="shared" si="13"/>
        <v>409.99783805899818</v>
      </c>
      <c r="I38" s="2">
        <f t="shared" si="14"/>
        <v>409.99783805899818</v>
      </c>
      <c r="J38" s="2">
        <f t="shared" si="15"/>
        <v>609.36749999999995</v>
      </c>
      <c r="K38" s="2">
        <f t="shared" si="16"/>
        <v>609.36749999999995</v>
      </c>
      <c r="L38" s="2">
        <v>60</v>
      </c>
      <c r="M38" s="2">
        <v>2</v>
      </c>
      <c r="N38" s="2">
        <v>2.2799999999999998</v>
      </c>
      <c r="O38" s="2">
        <v>1.75</v>
      </c>
      <c r="P38" s="2">
        <v>4.7836999999999996</v>
      </c>
      <c r="Q38" s="2">
        <v>5.7348999999999997</v>
      </c>
      <c r="R38" s="2">
        <v>5.3684000000000003</v>
      </c>
      <c r="S38" s="2">
        <v>4.6905000000000001</v>
      </c>
    </row>
    <row r="39" spans="2:19" x14ac:dyDescent="0.3">
      <c r="B39" s="2" t="s">
        <v>6</v>
      </c>
      <c r="C39" s="2">
        <v>163.5</v>
      </c>
      <c r="D39" s="2">
        <v>-717.85709999999995</v>
      </c>
      <c r="E39" s="2">
        <v>261.27859999999998</v>
      </c>
      <c r="F39" s="2">
        <f t="shared" si="11"/>
        <v>763.92756386870201</v>
      </c>
      <c r="G39" s="2">
        <f t="shared" si="12"/>
        <v>1218.7349999999999</v>
      </c>
      <c r="H39" s="2">
        <f t="shared" si="13"/>
        <v>381.963781934351</v>
      </c>
      <c r="I39" s="2">
        <f t="shared" si="14"/>
        <v>381.963781934351</v>
      </c>
      <c r="J39" s="2">
        <f t="shared" si="15"/>
        <v>609.36749999999995</v>
      </c>
      <c r="K39" s="2">
        <f t="shared" si="16"/>
        <v>609.36749999999995</v>
      </c>
      <c r="L39" s="2">
        <v>70</v>
      </c>
      <c r="M39" s="2">
        <v>0.9</v>
      </c>
      <c r="N39" s="2">
        <v>2.75</v>
      </c>
      <c r="O39" s="2">
        <v>3.55</v>
      </c>
      <c r="P39" s="2">
        <v>4.7198000000000002</v>
      </c>
      <c r="Q39" s="2">
        <v>5.6459999999999999</v>
      </c>
      <c r="R39" s="2">
        <v>5.2991999999999999</v>
      </c>
      <c r="S39" s="2">
        <v>4.6295000000000002</v>
      </c>
    </row>
    <row r="40" spans="2:19" x14ac:dyDescent="0.3">
      <c r="B40" s="2" t="s">
        <v>5</v>
      </c>
      <c r="C40" s="2">
        <v>175.5</v>
      </c>
      <c r="D40" s="2">
        <v>-665.17039999999997</v>
      </c>
      <c r="E40" s="2">
        <v>242.10220000000001</v>
      </c>
      <c r="F40" s="2">
        <f t="shared" si="11"/>
        <v>707.85954558867115</v>
      </c>
      <c r="G40" s="2">
        <f t="shared" si="12"/>
        <v>1218.7349999999999</v>
      </c>
      <c r="H40" s="2">
        <f t="shared" si="13"/>
        <v>353.92977279433558</v>
      </c>
      <c r="I40" s="2">
        <f t="shared" si="14"/>
        <v>353.92977279433558</v>
      </c>
      <c r="J40" s="2">
        <f t="shared" si="15"/>
        <v>609.36749999999995</v>
      </c>
      <c r="K40" s="2">
        <f t="shared" si="16"/>
        <v>609.36749999999995</v>
      </c>
      <c r="L40" s="2">
        <v>60</v>
      </c>
      <c r="M40" s="2">
        <v>2</v>
      </c>
      <c r="N40" s="2">
        <v>2.2799999999999998</v>
      </c>
      <c r="O40" s="2">
        <v>1.75</v>
      </c>
      <c r="P40" s="2">
        <v>5.1186999999999996</v>
      </c>
      <c r="Q40" s="2">
        <v>6.1364999999999998</v>
      </c>
      <c r="R40" s="2">
        <v>5.7443999999999997</v>
      </c>
      <c r="S40" s="2">
        <v>5.0190000000000001</v>
      </c>
    </row>
    <row r="41" spans="2:19" x14ac:dyDescent="0.3">
      <c r="B41" s="2" t="s">
        <v>7</v>
      </c>
      <c r="C41" s="2">
        <v>210.5</v>
      </c>
      <c r="D41" s="2">
        <v>-511.50069999999999</v>
      </c>
      <c r="E41" s="2">
        <v>186.17099999999999</v>
      </c>
      <c r="F41" s="2">
        <f t="shared" si="11"/>
        <v>544.32766541991043</v>
      </c>
      <c r="G41" s="2">
        <f t="shared" si="12"/>
        <v>1218.7349999999999</v>
      </c>
      <c r="H41" s="2">
        <f t="shared" si="13"/>
        <v>272.16383270995522</v>
      </c>
      <c r="I41" s="2">
        <f t="shared" si="14"/>
        <v>272.16383270995522</v>
      </c>
      <c r="J41" s="2">
        <f t="shared" si="15"/>
        <v>609.36749999999995</v>
      </c>
      <c r="K41" s="2">
        <f t="shared" si="16"/>
        <v>609.36749999999995</v>
      </c>
      <c r="L41" s="2">
        <v>50</v>
      </c>
      <c r="M41" s="2">
        <v>1.5</v>
      </c>
      <c r="N41" s="2">
        <v>2.2999999999999998</v>
      </c>
      <c r="O41" s="2">
        <v>1.8</v>
      </c>
      <c r="P41" s="2">
        <v>3.2724000000000002</v>
      </c>
      <c r="Q41" s="2">
        <v>3.9325000000000001</v>
      </c>
      <c r="R41" s="2">
        <v>3.6699000000000002</v>
      </c>
      <c r="S41" s="2">
        <v>3.2073</v>
      </c>
    </row>
    <row r="42" spans="2:19" x14ac:dyDescent="0.3">
      <c r="B42" s="2" t="s">
        <v>8</v>
      </c>
      <c r="C42" s="2">
        <v>259.35000000000002</v>
      </c>
      <c r="D42" s="2">
        <v>-297.02159999999998</v>
      </c>
      <c r="E42" s="2">
        <v>108.107</v>
      </c>
      <c r="F42" s="2">
        <f t="shared" si="11"/>
        <v>316.08377736853248</v>
      </c>
      <c r="G42" s="2">
        <f t="shared" si="12"/>
        <v>1218.7349999999999</v>
      </c>
      <c r="H42" s="2">
        <f t="shared" si="13"/>
        <v>158.04188868426624</v>
      </c>
      <c r="I42" s="2">
        <f t="shared" si="14"/>
        <v>158.04188868426624</v>
      </c>
      <c r="J42" s="2">
        <f t="shared" si="15"/>
        <v>609.36749999999995</v>
      </c>
      <c r="K42" s="2">
        <f t="shared" si="16"/>
        <v>609.36749999999995</v>
      </c>
      <c r="L42" s="2">
        <v>50</v>
      </c>
      <c r="M42" s="2">
        <v>0.9</v>
      </c>
      <c r="N42" s="6">
        <v>2.25</v>
      </c>
      <c r="O42" s="6">
        <v>3.15</v>
      </c>
      <c r="P42" s="2">
        <v>2.2492999999999999</v>
      </c>
      <c r="Q42" s="2">
        <v>2.7031000000000001</v>
      </c>
      <c r="R42" s="2">
        <v>2.5226000000000002</v>
      </c>
      <c r="S42" s="2">
        <v>2.2046000000000001</v>
      </c>
    </row>
    <row r="43" spans="2:19" x14ac:dyDescent="0.3">
      <c r="B43" s="2" t="s">
        <v>2</v>
      </c>
      <c r="C43" s="2">
        <v>307.27999999999997</v>
      </c>
      <c r="D43" s="2">
        <v>-86.581900000000005</v>
      </c>
      <c r="E43" s="2">
        <v>31.513200000000001</v>
      </c>
      <c r="F43" s="2">
        <f t="shared" si="11"/>
        <v>92.138521704279583</v>
      </c>
      <c r="G43" s="2">
        <f t="shared" si="12"/>
        <v>1218.7349999999999</v>
      </c>
      <c r="H43" s="2">
        <f t="shared" si="13"/>
        <v>46.069260852139791</v>
      </c>
      <c r="I43" s="2">
        <f t="shared" si="14"/>
        <v>46.069260852139791</v>
      </c>
      <c r="J43" s="2">
        <f t="shared" si="15"/>
        <v>609.36749999999995</v>
      </c>
      <c r="K43" s="2">
        <f t="shared" si="16"/>
        <v>609.36749999999995</v>
      </c>
      <c r="L43" s="2">
        <v>47</v>
      </c>
      <c r="M43" s="2">
        <v>0.15</v>
      </c>
      <c r="N43" s="6">
        <v>5.4</v>
      </c>
      <c r="O43" s="6">
        <v>3.15</v>
      </c>
      <c r="P43" s="2">
        <v>2.0657999999999999</v>
      </c>
      <c r="Q43" s="2">
        <v>2.4839000000000002</v>
      </c>
      <c r="R43" s="2">
        <v>2.3163</v>
      </c>
      <c r="S43" s="2">
        <v>2.0245000000000002</v>
      </c>
    </row>
    <row r="44" spans="2:19" x14ac:dyDescent="0.3">
      <c r="B44" s="8" t="s">
        <v>9</v>
      </c>
      <c r="C44" s="8">
        <v>315.55</v>
      </c>
      <c r="D44" s="8">
        <v>-50.271999999999998</v>
      </c>
      <c r="E44" s="8">
        <v>18.297499999999999</v>
      </c>
      <c r="F44" s="8">
        <f t="shared" si="11"/>
        <v>53.498341004651728</v>
      </c>
      <c r="G44" s="8">
        <f t="shared" si="12"/>
        <v>1218.7349999999999</v>
      </c>
      <c r="H44" s="8">
        <f t="shared" si="13"/>
        <v>26.749170502325864</v>
      </c>
      <c r="I44" s="8">
        <f t="shared" si="14"/>
        <v>26.749170502325864</v>
      </c>
      <c r="J44" s="8">
        <f t="shared" si="15"/>
        <v>609.36749999999995</v>
      </c>
      <c r="K44" s="8">
        <f t="shared" si="16"/>
        <v>609.36749999999995</v>
      </c>
      <c r="L44" s="8">
        <v>40</v>
      </c>
      <c r="M44" s="8">
        <v>1.2</v>
      </c>
      <c r="N44" s="11">
        <v>2.2999999999999998</v>
      </c>
      <c r="O44" s="11">
        <v>1.88</v>
      </c>
      <c r="P44" s="8">
        <v>1.9524999999999999</v>
      </c>
      <c r="Q44" s="8">
        <v>2.3512</v>
      </c>
      <c r="R44" s="8">
        <v>2.1880999999999999</v>
      </c>
      <c r="S44" s="8">
        <v>1.9129</v>
      </c>
    </row>
    <row r="47" spans="2:19" x14ac:dyDescent="0.3">
      <c r="B47" s="10" t="s">
        <v>29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2:19" ht="43.2" x14ac:dyDescent="0.3">
      <c r="B48" s="2" t="s">
        <v>0</v>
      </c>
      <c r="C48" s="3" t="s">
        <v>12</v>
      </c>
      <c r="D48" s="3" t="s">
        <v>13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 t="s">
        <v>19</v>
      </c>
      <c r="K48" s="3" t="s">
        <v>20</v>
      </c>
      <c r="L48" s="3" t="s">
        <v>21</v>
      </c>
      <c r="M48" s="3" t="s">
        <v>22</v>
      </c>
      <c r="N48" s="2" t="s">
        <v>10</v>
      </c>
      <c r="O48" s="2" t="s">
        <v>11</v>
      </c>
      <c r="P48" s="2" t="s">
        <v>23</v>
      </c>
      <c r="Q48" s="2" t="s">
        <v>24</v>
      </c>
      <c r="R48" s="2" t="s">
        <v>25</v>
      </c>
      <c r="S48" s="2" t="s">
        <v>26</v>
      </c>
    </row>
    <row r="49" spans="2:19" x14ac:dyDescent="0.3">
      <c r="B49" s="2" t="s">
        <v>1</v>
      </c>
      <c r="C49" s="2">
        <v>11.45</v>
      </c>
      <c r="D49" s="2">
        <v>-43.090200000000003</v>
      </c>
      <c r="E49" s="2">
        <v>15.6836</v>
      </c>
      <c r="F49" s="2">
        <f>SQRT(D49^2+E49^2)</f>
        <v>45.855650088075301</v>
      </c>
      <c r="G49" s="2">
        <f>2.1786*450</f>
        <v>980.36999999999989</v>
      </c>
      <c r="H49" s="2">
        <f>F49/2</f>
        <v>22.92782504403765</v>
      </c>
      <c r="I49" s="2">
        <f>F49/2</f>
        <v>22.92782504403765</v>
      </c>
      <c r="J49" s="2">
        <f>G49/2</f>
        <v>490.18499999999995</v>
      </c>
      <c r="K49" s="2">
        <f>G49/2</f>
        <v>490.18499999999995</v>
      </c>
      <c r="L49" s="2">
        <v>40</v>
      </c>
      <c r="M49" s="2">
        <v>1.2</v>
      </c>
      <c r="N49" s="6">
        <v>2.2999999999999998</v>
      </c>
      <c r="O49" s="6">
        <v>1.88</v>
      </c>
      <c r="P49" s="2">
        <v>2.4264999999999999</v>
      </c>
      <c r="Q49" s="2">
        <v>2.9220000000000002</v>
      </c>
      <c r="R49" s="2">
        <v>2.7193000000000001</v>
      </c>
      <c r="S49" s="2">
        <v>2.3774000000000002</v>
      </c>
    </row>
    <row r="50" spans="2:19" x14ac:dyDescent="0.3">
      <c r="B50" s="2" t="s">
        <v>2</v>
      </c>
      <c r="C50" s="2">
        <v>19.73</v>
      </c>
      <c r="D50" s="2">
        <v>-74.250699999999995</v>
      </c>
      <c r="E50" s="2">
        <v>27.024999999999999</v>
      </c>
      <c r="F50" s="2">
        <f t="shared" ref="F50:F59" si="17">SQRT(D50^2+E50^2)</f>
        <v>79.015929251575585</v>
      </c>
      <c r="G50" s="2">
        <f t="shared" ref="G50:G59" si="18">2.1786*450</f>
        <v>980.36999999999989</v>
      </c>
      <c r="H50" s="2">
        <f t="shared" ref="H50:H59" si="19">F50/2</f>
        <v>39.507964625787793</v>
      </c>
      <c r="I50" s="2">
        <f t="shared" ref="I50:I59" si="20">F50/2</f>
        <v>39.507964625787793</v>
      </c>
      <c r="J50" s="2">
        <f t="shared" ref="J50:J59" si="21">G50/2</f>
        <v>490.18499999999995</v>
      </c>
      <c r="K50" s="2">
        <f t="shared" ref="K50:K59" si="22">G50/2</f>
        <v>490.18499999999995</v>
      </c>
      <c r="L50" s="2">
        <v>47</v>
      </c>
      <c r="M50" s="2">
        <v>0.15</v>
      </c>
      <c r="N50" s="6">
        <v>5.4</v>
      </c>
      <c r="O50" s="6">
        <v>3.15</v>
      </c>
      <c r="P50" s="2">
        <v>2.5646</v>
      </c>
      <c r="Q50" s="2">
        <v>3.0838000000000001</v>
      </c>
      <c r="R50" s="2">
        <v>2.8757000000000001</v>
      </c>
      <c r="S50" s="2">
        <v>2.5133999999999999</v>
      </c>
    </row>
    <row r="51" spans="2:19" x14ac:dyDescent="0.3">
      <c r="B51" s="2" t="s">
        <v>3</v>
      </c>
      <c r="C51" s="2">
        <v>67.650000000000006</v>
      </c>
      <c r="D51" s="2">
        <v>-254.59</v>
      </c>
      <c r="E51" s="2">
        <v>92.663200000000003</v>
      </c>
      <c r="F51" s="2">
        <f t="shared" si="17"/>
        <v>270.92902527090007</v>
      </c>
      <c r="G51" s="2">
        <f t="shared" si="18"/>
        <v>980.36999999999989</v>
      </c>
      <c r="H51" s="2">
        <f t="shared" si="19"/>
        <v>135.46451263545003</v>
      </c>
      <c r="I51" s="2">
        <f t="shared" si="20"/>
        <v>135.46451263545003</v>
      </c>
      <c r="J51" s="2">
        <f t="shared" si="21"/>
        <v>490.18499999999995</v>
      </c>
      <c r="K51" s="2">
        <f t="shared" si="22"/>
        <v>490.18499999999995</v>
      </c>
      <c r="L51" s="2">
        <v>50</v>
      </c>
      <c r="M51" s="2">
        <v>0.9</v>
      </c>
      <c r="N51" s="6">
        <v>2.25</v>
      </c>
      <c r="O51" s="6">
        <v>3.15</v>
      </c>
      <c r="P51" s="2">
        <v>2.7879</v>
      </c>
      <c r="Q51" s="2">
        <v>3.3502999999999998</v>
      </c>
      <c r="R51" s="2">
        <v>3.1265999999999998</v>
      </c>
      <c r="S51" s="2">
        <v>2.7324999999999999</v>
      </c>
    </row>
    <row r="52" spans="2:19" x14ac:dyDescent="0.3">
      <c r="B52" s="2" t="s">
        <v>4</v>
      </c>
      <c r="C52" s="2">
        <v>116.5</v>
      </c>
      <c r="D52" s="2">
        <v>-438.42910000000001</v>
      </c>
      <c r="E52" s="2">
        <v>159.5752</v>
      </c>
      <c r="F52" s="2">
        <f t="shared" si="17"/>
        <v>466.5665227830325</v>
      </c>
      <c r="G52" s="2">
        <f t="shared" si="18"/>
        <v>980.36999999999989</v>
      </c>
      <c r="H52" s="2">
        <f t="shared" si="19"/>
        <v>233.28326139151625</v>
      </c>
      <c r="I52" s="2">
        <f t="shared" si="20"/>
        <v>233.28326139151625</v>
      </c>
      <c r="J52" s="2">
        <f t="shared" si="21"/>
        <v>490.18499999999995</v>
      </c>
      <c r="K52" s="2">
        <f t="shared" si="22"/>
        <v>490.18499999999995</v>
      </c>
      <c r="L52" s="2">
        <v>50</v>
      </c>
      <c r="M52" s="2">
        <v>1.5</v>
      </c>
      <c r="N52" s="2">
        <v>2.2999999999999998</v>
      </c>
      <c r="O52" s="2">
        <v>1.8</v>
      </c>
      <c r="P52" s="2">
        <v>3.9891999999999999</v>
      </c>
      <c r="Q52" s="2">
        <v>4.7939999999999996</v>
      </c>
      <c r="R52" s="2">
        <v>4.4739000000000004</v>
      </c>
      <c r="S52" s="2">
        <v>3.9098999999999999</v>
      </c>
    </row>
    <row r="53" spans="2:19" x14ac:dyDescent="0.3">
      <c r="B53" s="2" t="s">
        <v>5</v>
      </c>
      <c r="C53" s="2">
        <v>151.5</v>
      </c>
      <c r="D53" s="2">
        <v>-570.14599999999996</v>
      </c>
      <c r="E53" s="2">
        <v>207.5162</v>
      </c>
      <c r="F53" s="2">
        <f t="shared" si="17"/>
        <v>606.7367094370012</v>
      </c>
      <c r="G53" s="2">
        <f t="shared" si="18"/>
        <v>980.36999999999989</v>
      </c>
      <c r="H53" s="2">
        <f t="shared" si="19"/>
        <v>303.3683547185006</v>
      </c>
      <c r="I53" s="2">
        <f t="shared" si="20"/>
        <v>303.3683547185006</v>
      </c>
      <c r="J53" s="2">
        <f t="shared" si="21"/>
        <v>490.18499999999995</v>
      </c>
      <c r="K53" s="2">
        <f t="shared" si="22"/>
        <v>490.18499999999995</v>
      </c>
      <c r="L53" s="2">
        <v>60</v>
      </c>
      <c r="M53" s="2">
        <v>2</v>
      </c>
      <c r="N53" s="2">
        <v>2.2799999999999998</v>
      </c>
      <c r="O53" s="2">
        <v>1.75</v>
      </c>
      <c r="P53" s="2">
        <v>6.1879999999999997</v>
      </c>
      <c r="Q53" s="2">
        <v>7.4184000000000001</v>
      </c>
      <c r="R53" s="2">
        <v>6.9443999999999999</v>
      </c>
      <c r="S53" s="2">
        <v>6.0674999999999999</v>
      </c>
    </row>
    <row r="54" spans="2:19" x14ac:dyDescent="0.3">
      <c r="B54" s="2" t="s">
        <v>6</v>
      </c>
      <c r="C54" s="2">
        <v>163.5</v>
      </c>
      <c r="D54" s="2">
        <v>-615.30610000000001</v>
      </c>
      <c r="E54" s="2">
        <v>223.95310000000001</v>
      </c>
      <c r="F54" s="2">
        <f t="shared" si="17"/>
        <v>654.7950730547841</v>
      </c>
      <c r="G54" s="2">
        <f t="shared" si="18"/>
        <v>980.36999999999989</v>
      </c>
      <c r="H54" s="2">
        <f t="shared" si="19"/>
        <v>327.39753652739205</v>
      </c>
      <c r="I54" s="2">
        <f t="shared" si="20"/>
        <v>327.39753652739205</v>
      </c>
      <c r="J54" s="2">
        <f t="shared" si="21"/>
        <v>490.18499999999995</v>
      </c>
      <c r="K54" s="2">
        <f t="shared" si="22"/>
        <v>490.18499999999995</v>
      </c>
      <c r="L54" s="2">
        <v>70</v>
      </c>
      <c r="M54" s="2">
        <v>0.9</v>
      </c>
      <c r="N54" s="2">
        <v>2.75</v>
      </c>
      <c r="O54" s="2">
        <v>3.55</v>
      </c>
      <c r="P54" s="2">
        <v>5.7754000000000003</v>
      </c>
      <c r="Q54" s="2">
        <v>6.9089</v>
      </c>
      <c r="R54" s="2">
        <v>6.4843999999999999</v>
      </c>
      <c r="S54" s="2">
        <v>5.665</v>
      </c>
    </row>
    <row r="55" spans="2:19" x14ac:dyDescent="0.3">
      <c r="B55" s="2" t="s">
        <v>5</v>
      </c>
      <c r="C55" s="2">
        <v>175.5</v>
      </c>
      <c r="D55" s="2">
        <v>-660.46619999999996</v>
      </c>
      <c r="E55" s="2">
        <v>240.39</v>
      </c>
      <c r="F55" s="2">
        <f t="shared" si="17"/>
        <v>702.85343667256825</v>
      </c>
      <c r="G55" s="2">
        <f t="shared" si="18"/>
        <v>980.36999999999989</v>
      </c>
      <c r="H55" s="2">
        <f t="shared" si="19"/>
        <v>351.42671833628413</v>
      </c>
      <c r="I55" s="2">
        <f t="shared" si="20"/>
        <v>351.42671833628413</v>
      </c>
      <c r="J55" s="2">
        <f t="shared" si="21"/>
        <v>490.18499999999995</v>
      </c>
      <c r="K55" s="2">
        <f t="shared" si="22"/>
        <v>490.18499999999995</v>
      </c>
      <c r="L55" s="2">
        <v>60</v>
      </c>
      <c r="M55" s="2">
        <v>2</v>
      </c>
      <c r="N55" s="2">
        <v>2.2799999999999998</v>
      </c>
      <c r="O55" s="2">
        <v>1.75</v>
      </c>
      <c r="P55" s="2">
        <v>5.7561999999999998</v>
      </c>
      <c r="Q55" s="2">
        <v>6.9008000000000003</v>
      </c>
      <c r="R55" s="2">
        <v>6.4598000000000004</v>
      </c>
      <c r="S55" s="2">
        <v>5.6440999999999999</v>
      </c>
    </row>
    <row r="56" spans="2:19" x14ac:dyDescent="0.3">
      <c r="B56" s="2" t="s">
        <v>7</v>
      </c>
      <c r="C56" s="2">
        <v>210.5</v>
      </c>
      <c r="D56" s="2">
        <v>-631.46879999999999</v>
      </c>
      <c r="E56" s="2">
        <v>229.83590000000001</v>
      </c>
      <c r="F56" s="2">
        <f t="shared" si="17"/>
        <v>671.99507907591851</v>
      </c>
      <c r="G56" s="2">
        <f t="shared" si="18"/>
        <v>980.36999999999989</v>
      </c>
      <c r="H56" s="2">
        <f t="shared" si="19"/>
        <v>335.99753953795926</v>
      </c>
      <c r="I56" s="2">
        <f t="shared" si="20"/>
        <v>335.99753953795926</v>
      </c>
      <c r="J56" s="2">
        <f t="shared" si="21"/>
        <v>490.18499999999995</v>
      </c>
      <c r="K56" s="2">
        <f t="shared" si="22"/>
        <v>490.18499999999995</v>
      </c>
      <c r="L56" s="2">
        <v>50</v>
      </c>
      <c r="M56" s="2">
        <v>1.5</v>
      </c>
      <c r="N56" s="2">
        <v>2.2999999999999998</v>
      </c>
      <c r="O56" s="2">
        <v>1.8</v>
      </c>
      <c r="P56" s="2">
        <v>3.4392999999999998</v>
      </c>
      <c r="Q56" s="2">
        <v>4.1330999999999998</v>
      </c>
      <c r="R56" s="2">
        <v>3.8572000000000002</v>
      </c>
      <c r="S56" s="2">
        <v>3.371</v>
      </c>
    </row>
    <row r="57" spans="2:19" x14ac:dyDescent="0.3">
      <c r="B57" s="2" t="s">
        <v>8</v>
      </c>
      <c r="C57" s="2">
        <v>259.35000000000002</v>
      </c>
      <c r="D57" s="2">
        <v>-366.68549999999999</v>
      </c>
      <c r="E57" s="2">
        <v>133.46260000000001</v>
      </c>
      <c r="F57" s="2">
        <f t="shared" si="17"/>
        <v>390.21855607980768</v>
      </c>
      <c r="G57" s="2">
        <f t="shared" si="18"/>
        <v>980.36999999999989</v>
      </c>
      <c r="H57" s="2">
        <f t="shared" si="19"/>
        <v>195.10927803990384</v>
      </c>
      <c r="I57" s="2">
        <f t="shared" si="20"/>
        <v>195.10927803990384</v>
      </c>
      <c r="J57" s="2">
        <f t="shared" si="21"/>
        <v>490.18499999999995</v>
      </c>
      <c r="K57" s="2">
        <f t="shared" si="22"/>
        <v>490.18499999999995</v>
      </c>
      <c r="L57" s="2">
        <v>50</v>
      </c>
      <c r="M57" s="2">
        <v>0.9</v>
      </c>
      <c r="N57" s="6">
        <v>2.25</v>
      </c>
      <c r="O57" s="6">
        <v>3.15</v>
      </c>
      <c r="P57" s="2">
        <v>2.7168000000000001</v>
      </c>
      <c r="Q57" s="2">
        <v>3.2648999999999999</v>
      </c>
      <c r="R57" s="2">
        <v>3.0468000000000002</v>
      </c>
      <c r="S57" s="2">
        <v>2.6627999999999998</v>
      </c>
    </row>
    <row r="58" spans="2:19" x14ac:dyDescent="0.3">
      <c r="B58" s="2" t="s">
        <v>2</v>
      </c>
      <c r="C58" s="2">
        <v>307.27999999999997</v>
      </c>
      <c r="D58" s="2">
        <v>-106.889</v>
      </c>
      <c r="E58" s="2">
        <v>38.904400000000003</v>
      </c>
      <c r="F58" s="2">
        <f t="shared" si="17"/>
        <v>113.7488930071849</v>
      </c>
      <c r="G58" s="2">
        <f t="shared" si="18"/>
        <v>980.36999999999989</v>
      </c>
      <c r="H58" s="2">
        <f t="shared" si="19"/>
        <v>56.874446503592452</v>
      </c>
      <c r="I58" s="2">
        <f t="shared" si="20"/>
        <v>56.874446503592452</v>
      </c>
      <c r="J58" s="2">
        <f t="shared" si="21"/>
        <v>490.18499999999995</v>
      </c>
      <c r="K58" s="2">
        <f t="shared" si="22"/>
        <v>490.18499999999995</v>
      </c>
      <c r="L58" s="2">
        <v>47</v>
      </c>
      <c r="M58" s="2">
        <v>0.15</v>
      </c>
      <c r="N58" s="6">
        <v>5.4</v>
      </c>
      <c r="O58" s="6">
        <v>3.15</v>
      </c>
      <c r="P58" s="2">
        <v>2.5354999999999999</v>
      </c>
      <c r="Q58" s="2">
        <v>3.0488</v>
      </c>
      <c r="R58" s="2">
        <v>2.843</v>
      </c>
      <c r="S58" s="2">
        <v>2.4849000000000001</v>
      </c>
    </row>
    <row r="59" spans="2:19" x14ac:dyDescent="0.3">
      <c r="B59" s="8" t="s">
        <v>9</v>
      </c>
      <c r="C59" s="8">
        <v>315.55</v>
      </c>
      <c r="D59" s="8">
        <v>-62.062800000000003</v>
      </c>
      <c r="E59" s="8">
        <v>22.588999999999999</v>
      </c>
      <c r="F59" s="8">
        <f t="shared" si="17"/>
        <v>66.045848202896153</v>
      </c>
      <c r="G59" s="8">
        <f t="shared" si="18"/>
        <v>980.36999999999989</v>
      </c>
      <c r="H59" s="8">
        <f t="shared" si="19"/>
        <v>33.022924101448076</v>
      </c>
      <c r="I59" s="8">
        <f t="shared" si="20"/>
        <v>33.022924101448076</v>
      </c>
      <c r="J59" s="8">
        <f t="shared" si="21"/>
        <v>490.18499999999995</v>
      </c>
      <c r="K59" s="8">
        <f t="shared" si="22"/>
        <v>490.18499999999995</v>
      </c>
      <c r="L59" s="8">
        <v>40</v>
      </c>
      <c r="M59" s="8">
        <v>1.2</v>
      </c>
      <c r="N59" s="11">
        <v>2.2999999999999998</v>
      </c>
      <c r="O59" s="11">
        <v>1.88</v>
      </c>
      <c r="P59" s="8">
        <v>2.4211</v>
      </c>
      <c r="Q59" s="8">
        <v>2.9155000000000002</v>
      </c>
      <c r="R59" s="8">
        <v>2.7132999999999998</v>
      </c>
      <c r="S59" s="8">
        <v>2.3721000000000001</v>
      </c>
    </row>
    <row r="62" spans="2:19" x14ac:dyDescent="0.3">
      <c r="B62" s="10" t="s">
        <v>30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2:19" ht="43.2" x14ac:dyDescent="0.3">
      <c r="B63" s="2" t="s">
        <v>0</v>
      </c>
      <c r="C63" s="3" t="s">
        <v>12</v>
      </c>
      <c r="D63" s="3" t="s">
        <v>13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 t="s">
        <v>19</v>
      </c>
      <c r="K63" s="3" t="s">
        <v>20</v>
      </c>
      <c r="L63" s="3" t="s">
        <v>21</v>
      </c>
      <c r="M63" s="3" t="s">
        <v>22</v>
      </c>
      <c r="N63" s="2" t="s">
        <v>10</v>
      </c>
      <c r="O63" s="2" t="s">
        <v>11</v>
      </c>
      <c r="P63" s="2" t="s">
        <v>23</v>
      </c>
      <c r="Q63" s="2" t="s">
        <v>24</v>
      </c>
      <c r="R63" s="2" t="s">
        <v>25</v>
      </c>
      <c r="S63" s="2" t="s">
        <v>26</v>
      </c>
    </row>
    <row r="64" spans="2:19" x14ac:dyDescent="0.3">
      <c r="B64" s="2" t="s">
        <v>1</v>
      </c>
      <c r="C64" s="2">
        <v>11.45</v>
      </c>
      <c r="D64" s="2">
        <v>-26.485199999999999</v>
      </c>
      <c r="E64" s="2">
        <v>9.6397999999999993</v>
      </c>
      <c r="F64" s="2">
        <f>SQRT(D64^2+E64^2)</f>
        <v>28.184952777679086</v>
      </c>
      <c r="G64" s="2">
        <f>1.697*450</f>
        <v>763.65</v>
      </c>
      <c r="H64" s="2">
        <f>F64/2</f>
        <v>14.092476388839543</v>
      </c>
      <c r="I64" s="2">
        <f>F64/2</f>
        <v>14.092476388839543</v>
      </c>
      <c r="J64" s="2">
        <f>G64/2</f>
        <v>381.82499999999999</v>
      </c>
      <c r="K64" s="2">
        <f>G64/2</f>
        <v>381.82499999999999</v>
      </c>
      <c r="L64" s="2">
        <v>40</v>
      </c>
      <c r="M64" s="2">
        <v>1.2</v>
      </c>
      <c r="N64" s="6">
        <v>2.2999999999999998</v>
      </c>
      <c r="O64" s="6">
        <v>1.88</v>
      </c>
      <c r="P64" s="2">
        <v>3.1175999999999999</v>
      </c>
      <c r="Q64" s="2">
        <v>3.7543000000000002</v>
      </c>
      <c r="R64" s="2">
        <v>3.4937999999999998</v>
      </c>
      <c r="S64" s="2">
        <v>3.0545</v>
      </c>
    </row>
    <row r="65" spans="2:19" x14ac:dyDescent="0.3">
      <c r="B65" s="2" t="s">
        <v>2</v>
      </c>
      <c r="C65" s="2">
        <v>19.73</v>
      </c>
      <c r="D65" s="2">
        <v>-45.637799999999999</v>
      </c>
      <c r="E65" s="2">
        <v>16.610800000000001</v>
      </c>
      <c r="F65" s="2">
        <f t="shared" ref="F65:F74" si="23">SQRT(D65^2+E65^2)</f>
        <v>48.566732085657158</v>
      </c>
      <c r="G65" s="2">
        <f t="shared" ref="G65:G74" si="24">1.697*450</f>
        <v>763.65</v>
      </c>
      <c r="H65" s="2">
        <f t="shared" ref="H65:H74" si="25">F65/2</f>
        <v>24.283366042828579</v>
      </c>
      <c r="I65" s="2">
        <f t="shared" ref="I65:I74" si="26">F65/2</f>
        <v>24.283366042828579</v>
      </c>
      <c r="J65" s="2">
        <f t="shared" ref="J65:J74" si="27">G65/2</f>
        <v>381.82499999999999</v>
      </c>
      <c r="K65" s="2">
        <f t="shared" ref="K65:K74" si="28">G65/2</f>
        <v>381.82499999999999</v>
      </c>
      <c r="L65" s="2">
        <v>47</v>
      </c>
      <c r="M65" s="2">
        <v>0.15</v>
      </c>
      <c r="N65" s="6">
        <v>5.4</v>
      </c>
      <c r="O65" s="6">
        <v>3.15</v>
      </c>
      <c r="P65" s="2">
        <v>3.3058999999999998</v>
      </c>
      <c r="Q65" s="2">
        <v>3.9750999999999999</v>
      </c>
      <c r="R65" s="2">
        <v>3.7069000000000001</v>
      </c>
      <c r="S65" s="2">
        <v>3.2399</v>
      </c>
    </row>
    <row r="66" spans="2:19" x14ac:dyDescent="0.3">
      <c r="B66" s="2" t="s">
        <v>3</v>
      </c>
      <c r="C66" s="2">
        <v>67.650000000000006</v>
      </c>
      <c r="D66" s="2">
        <v>-156.48240000000001</v>
      </c>
      <c r="E66" s="2">
        <v>56.954900000000002</v>
      </c>
      <c r="F66" s="2">
        <f t="shared" si="23"/>
        <v>166.52507962397138</v>
      </c>
      <c r="G66" s="2">
        <f t="shared" si="24"/>
        <v>763.65</v>
      </c>
      <c r="H66" s="2">
        <f t="shared" si="25"/>
        <v>83.26253981198569</v>
      </c>
      <c r="I66" s="2">
        <f t="shared" si="26"/>
        <v>83.26253981198569</v>
      </c>
      <c r="J66" s="2">
        <f t="shared" si="27"/>
        <v>381.82499999999999</v>
      </c>
      <c r="K66" s="2">
        <f t="shared" si="28"/>
        <v>381.82499999999999</v>
      </c>
      <c r="L66" s="2">
        <v>50</v>
      </c>
      <c r="M66" s="2">
        <v>0.9</v>
      </c>
      <c r="N66" s="6">
        <v>2.25</v>
      </c>
      <c r="O66" s="6">
        <v>3.15</v>
      </c>
      <c r="P66" s="2">
        <v>3.6128999999999998</v>
      </c>
      <c r="Q66" s="2">
        <v>4.3417000000000003</v>
      </c>
      <c r="R66" s="2">
        <v>4.0518000000000001</v>
      </c>
      <c r="S66" s="2">
        <v>3.5411000000000001</v>
      </c>
    </row>
    <row r="67" spans="2:19" x14ac:dyDescent="0.3">
      <c r="B67" s="2" t="s">
        <v>4</v>
      </c>
      <c r="C67" s="2">
        <v>116.5</v>
      </c>
      <c r="D67" s="2">
        <v>-269.47829999999999</v>
      </c>
      <c r="E67" s="2">
        <v>98.082099999999997</v>
      </c>
      <c r="F67" s="2">
        <f t="shared" si="23"/>
        <v>286.77282387161443</v>
      </c>
      <c r="G67" s="2">
        <f t="shared" si="24"/>
        <v>763.65</v>
      </c>
      <c r="H67" s="2">
        <f t="shared" si="25"/>
        <v>143.38641193580722</v>
      </c>
      <c r="I67" s="2">
        <f t="shared" si="26"/>
        <v>143.38641193580722</v>
      </c>
      <c r="J67" s="2">
        <f t="shared" si="27"/>
        <v>381.82499999999999</v>
      </c>
      <c r="K67" s="2">
        <f t="shared" si="28"/>
        <v>381.82499999999999</v>
      </c>
      <c r="L67" s="2">
        <v>50</v>
      </c>
      <c r="M67" s="2">
        <v>1.5</v>
      </c>
      <c r="N67" s="2">
        <v>2.2999999999999998</v>
      </c>
      <c r="O67" s="2">
        <v>1.8</v>
      </c>
      <c r="P67" s="2">
        <v>5.4634</v>
      </c>
      <c r="Q67" s="2">
        <v>6.5655000000000001</v>
      </c>
      <c r="R67" s="2">
        <v>6.1271000000000004</v>
      </c>
      <c r="S67" s="2">
        <v>5.3548</v>
      </c>
    </row>
    <row r="68" spans="2:19" x14ac:dyDescent="0.3">
      <c r="B68" s="2" t="s">
        <v>5</v>
      </c>
      <c r="C68" s="2">
        <v>151.5</v>
      </c>
      <c r="D68" s="2">
        <v>-350.43740000000003</v>
      </c>
      <c r="E68" s="2">
        <v>127.5488</v>
      </c>
      <c r="F68" s="2">
        <f t="shared" si="23"/>
        <v>372.92769768441713</v>
      </c>
      <c r="G68" s="2">
        <f t="shared" si="24"/>
        <v>763.65</v>
      </c>
      <c r="H68" s="2">
        <f t="shared" si="25"/>
        <v>186.46384884220856</v>
      </c>
      <c r="I68" s="2">
        <f t="shared" si="26"/>
        <v>186.46384884220856</v>
      </c>
      <c r="J68" s="2">
        <f t="shared" si="27"/>
        <v>381.82499999999999</v>
      </c>
      <c r="K68" s="2">
        <f t="shared" si="28"/>
        <v>381.82499999999999</v>
      </c>
      <c r="L68" s="2">
        <v>60</v>
      </c>
      <c r="M68" s="2">
        <v>2</v>
      </c>
      <c r="N68" s="2">
        <v>2.2799999999999998</v>
      </c>
      <c r="O68" s="2">
        <v>1.75</v>
      </c>
      <c r="P68" s="2">
        <v>8.7292000000000005</v>
      </c>
      <c r="Q68" s="2">
        <v>10.4649</v>
      </c>
      <c r="R68" s="2">
        <v>9.7962000000000007</v>
      </c>
      <c r="S68" s="2">
        <v>8.5592000000000006</v>
      </c>
    </row>
    <row r="69" spans="2:19" x14ac:dyDescent="0.3">
      <c r="B69" s="2" t="s">
        <v>6</v>
      </c>
      <c r="C69" s="2">
        <v>163.5</v>
      </c>
      <c r="D69" s="2">
        <v>-378.19479999999999</v>
      </c>
      <c r="E69" s="2">
        <v>137.65170000000001</v>
      </c>
      <c r="F69" s="2">
        <f t="shared" si="23"/>
        <v>402.46651694262715</v>
      </c>
      <c r="G69" s="2">
        <f t="shared" si="24"/>
        <v>763.65</v>
      </c>
      <c r="H69" s="2">
        <f t="shared" si="25"/>
        <v>201.23325847131358</v>
      </c>
      <c r="I69" s="2">
        <f t="shared" si="26"/>
        <v>201.23325847131358</v>
      </c>
      <c r="J69" s="2">
        <f t="shared" si="27"/>
        <v>381.82499999999999</v>
      </c>
      <c r="K69" s="2">
        <f t="shared" si="28"/>
        <v>381.82499999999999</v>
      </c>
      <c r="L69" s="2">
        <v>70</v>
      </c>
      <c r="M69" s="2">
        <v>0.9</v>
      </c>
      <c r="N69" s="2">
        <v>2.75</v>
      </c>
      <c r="O69" s="2">
        <v>3.55</v>
      </c>
      <c r="P69" s="2">
        <v>7.8079000000000001</v>
      </c>
      <c r="Q69" s="2">
        <v>9.3401999999999994</v>
      </c>
      <c r="R69" s="2">
        <v>8.7664000000000009</v>
      </c>
      <c r="S69" s="2">
        <v>7.6585999999999999</v>
      </c>
    </row>
    <row r="70" spans="2:19" x14ac:dyDescent="0.3">
      <c r="B70" s="2" t="s">
        <v>5</v>
      </c>
      <c r="C70" s="2">
        <v>175.5</v>
      </c>
      <c r="D70" s="2">
        <v>-405.9522</v>
      </c>
      <c r="E70" s="2">
        <v>147.75450000000001</v>
      </c>
      <c r="F70" s="2">
        <f t="shared" si="23"/>
        <v>432.00530199881808</v>
      </c>
      <c r="G70" s="2">
        <f t="shared" si="24"/>
        <v>763.65</v>
      </c>
      <c r="H70" s="2">
        <f t="shared" si="25"/>
        <v>216.00265099940904</v>
      </c>
      <c r="I70" s="2">
        <f t="shared" si="26"/>
        <v>216.00265099940904</v>
      </c>
      <c r="J70" s="2">
        <f t="shared" si="27"/>
        <v>381.82499999999999</v>
      </c>
      <c r="K70" s="2">
        <f t="shared" si="28"/>
        <v>381.82499999999999</v>
      </c>
      <c r="L70" s="2">
        <v>60</v>
      </c>
      <c r="M70" s="2">
        <v>2</v>
      </c>
      <c r="N70" s="2">
        <v>2.2799999999999998</v>
      </c>
      <c r="O70" s="2">
        <v>1.75</v>
      </c>
      <c r="P70" s="2">
        <v>8.2592999999999996</v>
      </c>
      <c r="Q70" s="2">
        <v>9.9016000000000002</v>
      </c>
      <c r="R70" s="2">
        <v>9.2689000000000004</v>
      </c>
      <c r="S70" s="2">
        <v>8.0984999999999996</v>
      </c>
    </row>
    <row r="71" spans="2:19" x14ac:dyDescent="0.3">
      <c r="B71" s="2" t="s">
        <v>7</v>
      </c>
      <c r="C71" s="2">
        <v>210.5</v>
      </c>
      <c r="D71" s="2">
        <v>-486.91140000000001</v>
      </c>
      <c r="E71" s="2">
        <v>177.22120000000001</v>
      </c>
      <c r="F71" s="2">
        <f t="shared" si="23"/>
        <v>518.16026978088553</v>
      </c>
      <c r="G71" s="2">
        <f t="shared" si="24"/>
        <v>763.65</v>
      </c>
      <c r="H71" s="2">
        <f t="shared" si="25"/>
        <v>259.08013489044276</v>
      </c>
      <c r="I71" s="2">
        <f t="shared" si="26"/>
        <v>259.08013489044276</v>
      </c>
      <c r="J71" s="2">
        <f t="shared" si="27"/>
        <v>381.82499999999999</v>
      </c>
      <c r="K71" s="2">
        <f t="shared" si="28"/>
        <v>381.82499999999999</v>
      </c>
      <c r="L71" s="2">
        <v>50</v>
      </c>
      <c r="M71" s="2">
        <v>1.5</v>
      </c>
      <c r="N71" s="2">
        <v>2.2999999999999998</v>
      </c>
      <c r="O71" s="2">
        <v>1.8</v>
      </c>
      <c r="P71" s="2">
        <v>4.4375</v>
      </c>
      <c r="Q71" s="2">
        <v>5.3327</v>
      </c>
      <c r="R71" s="2">
        <v>4.9766000000000004</v>
      </c>
      <c r="S71" s="2">
        <v>4.3493000000000004</v>
      </c>
    </row>
    <row r="72" spans="2:19" x14ac:dyDescent="0.3">
      <c r="B72" s="2" t="s">
        <v>8</v>
      </c>
      <c r="C72" s="2">
        <v>259.35000000000002</v>
      </c>
      <c r="D72" s="2">
        <v>-370.66039999999998</v>
      </c>
      <c r="E72" s="2">
        <v>134.90940000000001</v>
      </c>
      <c r="F72" s="2">
        <f t="shared" si="23"/>
        <v>394.44857502153559</v>
      </c>
      <c r="G72" s="2">
        <f t="shared" si="24"/>
        <v>763.65</v>
      </c>
      <c r="H72" s="2">
        <f t="shared" si="25"/>
        <v>197.22428751076779</v>
      </c>
      <c r="I72" s="2">
        <f t="shared" si="26"/>
        <v>197.22428751076779</v>
      </c>
      <c r="J72" s="2">
        <f t="shared" si="27"/>
        <v>381.82499999999999</v>
      </c>
      <c r="K72" s="2">
        <f t="shared" si="28"/>
        <v>381.82499999999999</v>
      </c>
      <c r="L72" s="2">
        <v>50</v>
      </c>
      <c r="M72" s="2">
        <v>0.9</v>
      </c>
      <c r="N72" s="6">
        <v>2.25</v>
      </c>
      <c r="O72" s="6">
        <v>3.15</v>
      </c>
      <c r="P72" s="2">
        <v>3.3773</v>
      </c>
      <c r="Q72" s="2">
        <v>4.0586000000000002</v>
      </c>
      <c r="R72" s="2">
        <v>3.7875999999999999</v>
      </c>
      <c r="S72" s="2">
        <v>3.3102</v>
      </c>
    </row>
    <row r="73" spans="2:19" x14ac:dyDescent="0.3">
      <c r="B73" s="2" t="s">
        <v>2</v>
      </c>
      <c r="C73" s="2">
        <v>307.27999999999997</v>
      </c>
      <c r="D73" s="2">
        <v>-108.0476</v>
      </c>
      <c r="E73" s="2">
        <v>39.326099999999997</v>
      </c>
      <c r="F73" s="2">
        <f t="shared" si="23"/>
        <v>114.9818507720675</v>
      </c>
      <c r="G73" s="2">
        <f t="shared" si="24"/>
        <v>763.65</v>
      </c>
      <c r="H73" s="2">
        <f t="shared" si="25"/>
        <v>57.490925386033751</v>
      </c>
      <c r="I73" s="2">
        <f t="shared" si="26"/>
        <v>57.490925386033751</v>
      </c>
      <c r="J73" s="2">
        <f t="shared" si="27"/>
        <v>381.82499999999999</v>
      </c>
      <c r="K73" s="2">
        <f t="shared" si="28"/>
        <v>381.82499999999999</v>
      </c>
      <c r="L73" s="2">
        <v>47</v>
      </c>
      <c r="M73" s="2">
        <v>0.15</v>
      </c>
      <c r="N73" s="6">
        <v>5.4</v>
      </c>
      <c r="O73" s="6">
        <v>3.15</v>
      </c>
      <c r="P73" s="2">
        <v>3.2075999999999998</v>
      </c>
      <c r="Q73" s="2">
        <v>3.8569</v>
      </c>
      <c r="R73" s="2">
        <v>3.5966</v>
      </c>
      <c r="S73" s="2">
        <v>3.1435</v>
      </c>
    </row>
    <row r="74" spans="2:19" x14ac:dyDescent="0.3">
      <c r="B74" s="8" t="s">
        <v>9</v>
      </c>
      <c r="C74" s="8">
        <v>315.55</v>
      </c>
      <c r="D74" s="8">
        <v>-62.735599999999998</v>
      </c>
      <c r="E74" s="8">
        <v>22.8339</v>
      </c>
      <c r="F74" s="8">
        <f t="shared" si="23"/>
        <v>66.761834131260954</v>
      </c>
      <c r="G74" s="8">
        <f t="shared" si="24"/>
        <v>763.65</v>
      </c>
      <c r="H74" s="8">
        <f t="shared" si="25"/>
        <v>33.380917065630477</v>
      </c>
      <c r="I74" s="8">
        <f t="shared" si="26"/>
        <v>33.380917065630477</v>
      </c>
      <c r="J74" s="8">
        <f t="shared" si="27"/>
        <v>381.82499999999999</v>
      </c>
      <c r="K74" s="8">
        <f t="shared" si="28"/>
        <v>381.82499999999999</v>
      </c>
      <c r="L74" s="8">
        <v>40</v>
      </c>
      <c r="M74" s="8">
        <v>1.2</v>
      </c>
      <c r="N74" s="11">
        <v>2.2999999999999998</v>
      </c>
      <c r="O74" s="11">
        <v>1.88</v>
      </c>
      <c r="P74" s="8">
        <v>3.0990000000000002</v>
      </c>
      <c r="Q74" s="8">
        <v>3.7319</v>
      </c>
      <c r="R74" s="8">
        <v>3.4729999999999999</v>
      </c>
      <c r="S74" s="8">
        <v>3.0363000000000002</v>
      </c>
    </row>
    <row r="77" spans="2:19" x14ac:dyDescent="0.3">
      <c r="B77" s="10" t="s">
        <v>31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2:19" ht="43.2" x14ac:dyDescent="0.3">
      <c r="B78" s="2" t="s">
        <v>0</v>
      </c>
      <c r="C78" s="3" t="s">
        <v>12</v>
      </c>
      <c r="D78" s="3" t="s">
        <v>13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 t="s">
        <v>19</v>
      </c>
      <c r="K78" s="3" t="s">
        <v>20</v>
      </c>
      <c r="L78" s="3" t="s">
        <v>21</v>
      </c>
      <c r="M78" s="3" t="s">
        <v>22</v>
      </c>
      <c r="N78" s="2" t="s">
        <v>10</v>
      </c>
      <c r="O78" s="2" t="s">
        <v>11</v>
      </c>
      <c r="P78" s="2" t="s">
        <v>23</v>
      </c>
      <c r="Q78" s="2" t="s">
        <v>24</v>
      </c>
      <c r="R78" s="2" t="s">
        <v>25</v>
      </c>
      <c r="S78" s="2" t="s">
        <v>26</v>
      </c>
    </row>
    <row r="79" spans="2:19" x14ac:dyDescent="0.3">
      <c r="B79" s="2" t="s">
        <v>1</v>
      </c>
      <c r="C79" s="2">
        <v>11.45</v>
      </c>
      <c r="D79" s="2">
        <v>-8.3933999999999997</v>
      </c>
      <c r="E79" s="2">
        <v>3.0550000000000002</v>
      </c>
      <c r="F79" s="2">
        <f>SQRT(D79^2+E79^2)</f>
        <v>8.9320875812992337</v>
      </c>
      <c r="G79" s="2">
        <f>1.1707*450</f>
        <v>526.81500000000005</v>
      </c>
      <c r="H79" s="2">
        <f>F79/2</f>
        <v>4.4660437906496169</v>
      </c>
      <c r="I79" s="2">
        <f>F79/2</f>
        <v>4.4660437906496169</v>
      </c>
      <c r="J79" s="2">
        <f>G79/2</f>
        <v>263.40750000000003</v>
      </c>
      <c r="K79" s="2">
        <f>G79/2</f>
        <v>263.40750000000003</v>
      </c>
      <c r="L79" s="2">
        <v>40</v>
      </c>
      <c r="M79" s="2">
        <v>1.2</v>
      </c>
      <c r="N79" s="6">
        <v>2.2999999999999998</v>
      </c>
      <c r="O79" s="6">
        <v>1.88</v>
      </c>
      <c r="P79" s="2">
        <v>4.5236999999999998</v>
      </c>
      <c r="Q79" s="2">
        <v>5.4476000000000004</v>
      </c>
      <c r="R79" s="2">
        <v>5.0697000000000001</v>
      </c>
      <c r="S79" s="2">
        <v>4.4321999999999999</v>
      </c>
    </row>
    <row r="80" spans="2:19" x14ac:dyDescent="0.3">
      <c r="B80" s="2" t="s">
        <v>2</v>
      </c>
      <c r="C80" s="2">
        <v>19.73</v>
      </c>
      <c r="D80" s="2">
        <v>-14.463100000000001</v>
      </c>
      <c r="E80" s="2">
        <v>5.2641</v>
      </c>
      <c r="F80" s="2">
        <f t="shared" ref="F80:F89" si="29">SQRT(D80^2+E80^2)</f>
        <v>15.391296580210518</v>
      </c>
      <c r="G80" s="2">
        <f t="shared" ref="G80:G89" si="30">1.1707*450</f>
        <v>526.81500000000005</v>
      </c>
      <c r="H80" s="2">
        <f t="shared" ref="H80:H89" si="31">F80/2</f>
        <v>7.6956482901052592</v>
      </c>
      <c r="I80" s="2">
        <f t="shared" ref="I80:I89" si="32">F80/2</f>
        <v>7.6956482901052592</v>
      </c>
      <c r="J80" s="2">
        <f t="shared" ref="J80:J89" si="33">G80/2</f>
        <v>263.40750000000003</v>
      </c>
      <c r="K80" s="2">
        <f t="shared" ref="K80:K89" si="34">G80/2</f>
        <v>263.40750000000003</v>
      </c>
      <c r="L80" s="2">
        <v>47</v>
      </c>
      <c r="M80" s="2">
        <v>0.15</v>
      </c>
      <c r="N80" s="6">
        <v>5.4</v>
      </c>
      <c r="O80" s="6">
        <v>3.15</v>
      </c>
      <c r="P80" s="2">
        <v>4.8178999999999998</v>
      </c>
      <c r="Q80" s="2">
        <v>5.7930999999999999</v>
      </c>
      <c r="R80" s="2">
        <v>5.4021999999999997</v>
      </c>
      <c r="S80" s="2">
        <v>4.7215999999999996</v>
      </c>
    </row>
    <row r="81" spans="2:19" x14ac:dyDescent="0.3">
      <c r="B81" s="2" t="s">
        <v>3</v>
      </c>
      <c r="C81" s="2">
        <v>67.650000000000006</v>
      </c>
      <c r="D81" s="2">
        <v>-49.590800000000002</v>
      </c>
      <c r="E81" s="2">
        <v>18.049600000000002</v>
      </c>
      <c r="F81" s="2">
        <f t="shared" si="29"/>
        <v>52.77343559784601</v>
      </c>
      <c r="G81" s="2">
        <f t="shared" si="30"/>
        <v>526.81500000000005</v>
      </c>
      <c r="H81" s="2">
        <f t="shared" si="31"/>
        <v>26.386717798923005</v>
      </c>
      <c r="I81" s="2">
        <f t="shared" si="32"/>
        <v>26.386717798923005</v>
      </c>
      <c r="J81" s="2">
        <f t="shared" si="33"/>
        <v>263.40750000000003</v>
      </c>
      <c r="K81" s="2">
        <f t="shared" si="34"/>
        <v>263.40750000000003</v>
      </c>
      <c r="L81" s="2">
        <v>50</v>
      </c>
      <c r="M81" s="2">
        <v>0.9</v>
      </c>
      <c r="N81" s="6">
        <v>2.25</v>
      </c>
      <c r="O81" s="6">
        <v>3.15</v>
      </c>
      <c r="P81" s="2">
        <v>5.3029000000000002</v>
      </c>
      <c r="Q81" s="2">
        <v>6.3727</v>
      </c>
      <c r="R81" s="2">
        <v>5.9470999999999998</v>
      </c>
      <c r="S81" s="2">
        <v>5.1974999999999998</v>
      </c>
    </row>
    <row r="82" spans="2:19" x14ac:dyDescent="0.3">
      <c r="B82" s="2" t="s">
        <v>4</v>
      </c>
      <c r="C82" s="2">
        <v>116.5</v>
      </c>
      <c r="D82" s="2">
        <v>-85.400300000000001</v>
      </c>
      <c r="E82" s="2">
        <v>31.083200000000001</v>
      </c>
      <c r="F82" s="2">
        <f t="shared" si="29"/>
        <v>90.881112241928463</v>
      </c>
      <c r="G82" s="2">
        <f t="shared" si="30"/>
        <v>526.81500000000005</v>
      </c>
      <c r="H82" s="2">
        <f t="shared" si="31"/>
        <v>45.440556120964231</v>
      </c>
      <c r="I82" s="2">
        <f t="shared" si="32"/>
        <v>45.440556120964231</v>
      </c>
      <c r="J82" s="2">
        <f t="shared" si="33"/>
        <v>263.40750000000003</v>
      </c>
      <c r="K82" s="2">
        <f t="shared" si="34"/>
        <v>263.40750000000003</v>
      </c>
      <c r="L82" s="2">
        <v>50</v>
      </c>
      <c r="M82" s="2">
        <v>1.5</v>
      </c>
      <c r="N82" s="2">
        <v>2.2999999999999998</v>
      </c>
      <c r="O82" s="2">
        <v>1.8</v>
      </c>
      <c r="P82" s="2">
        <v>8.7438000000000002</v>
      </c>
      <c r="Q82" s="2">
        <v>10.5076</v>
      </c>
      <c r="R82" s="2">
        <v>9.8059999999999992</v>
      </c>
      <c r="S82" s="2">
        <v>8.57</v>
      </c>
    </row>
    <row r="83" spans="2:19" x14ac:dyDescent="0.3">
      <c r="B83" s="2" t="s">
        <v>5</v>
      </c>
      <c r="C83" s="2">
        <v>151.5</v>
      </c>
      <c r="D83" s="2">
        <v>-111.05710000000001</v>
      </c>
      <c r="E83" s="2">
        <v>40.421500000000002</v>
      </c>
      <c r="F83" s="2">
        <f t="shared" si="29"/>
        <v>118.18450457932292</v>
      </c>
      <c r="G83" s="2">
        <f t="shared" si="30"/>
        <v>526.81500000000005</v>
      </c>
      <c r="H83" s="2">
        <f t="shared" si="31"/>
        <v>59.092252289661459</v>
      </c>
      <c r="I83" s="2">
        <f t="shared" si="32"/>
        <v>59.092252289661459</v>
      </c>
      <c r="J83" s="2">
        <f t="shared" si="33"/>
        <v>263.40750000000003</v>
      </c>
      <c r="K83" s="2">
        <f t="shared" si="34"/>
        <v>263.40750000000003</v>
      </c>
      <c r="L83" s="2">
        <v>60</v>
      </c>
      <c r="M83" s="2">
        <v>2</v>
      </c>
      <c r="N83" s="2">
        <v>2.2799999999999998</v>
      </c>
      <c r="O83" s="2">
        <v>1.75</v>
      </c>
      <c r="P83" s="2">
        <v>14.809799999999999</v>
      </c>
      <c r="Q83" s="2">
        <v>17.7546</v>
      </c>
      <c r="R83" s="2">
        <v>16.62</v>
      </c>
      <c r="S83" s="2">
        <v>14.5214</v>
      </c>
    </row>
    <row r="84" spans="2:19" x14ac:dyDescent="0.3">
      <c r="B84" s="2" t="s">
        <v>6</v>
      </c>
      <c r="C84" s="2">
        <v>163.5</v>
      </c>
      <c r="D84" s="2">
        <v>-119.8537</v>
      </c>
      <c r="E84" s="2">
        <v>43.623199999999997</v>
      </c>
      <c r="F84" s="2">
        <f t="shared" si="29"/>
        <v>127.54565058021383</v>
      </c>
      <c r="G84" s="2">
        <f t="shared" si="30"/>
        <v>526.81500000000005</v>
      </c>
      <c r="H84" s="2">
        <f t="shared" si="31"/>
        <v>63.772825290106915</v>
      </c>
      <c r="I84" s="2">
        <f t="shared" si="32"/>
        <v>63.772825290106915</v>
      </c>
      <c r="J84" s="2">
        <f t="shared" si="33"/>
        <v>263.40750000000003</v>
      </c>
      <c r="K84" s="2">
        <f t="shared" si="34"/>
        <v>263.40750000000003</v>
      </c>
      <c r="L84" s="2">
        <v>70</v>
      </c>
      <c r="M84" s="2">
        <v>0.9</v>
      </c>
      <c r="N84" s="2">
        <v>2.75</v>
      </c>
      <c r="O84" s="2">
        <v>3.55</v>
      </c>
      <c r="P84" s="2">
        <v>12.2174</v>
      </c>
      <c r="Q84" s="2">
        <v>14.6151</v>
      </c>
      <c r="R84" s="2">
        <v>13.7172</v>
      </c>
      <c r="S84" s="2">
        <v>11.9838</v>
      </c>
    </row>
    <row r="85" spans="2:19" x14ac:dyDescent="0.3">
      <c r="B85" s="2" t="s">
        <v>5</v>
      </c>
      <c r="C85" s="2">
        <v>175.5</v>
      </c>
      <c r="D85" s="2">
        <v>-128.65029999999999</v>
      </c>
      <c r="E85" s="2">
        <v>46.8249</v>
      </c>
      <c r="F85" s="2">
        <f t="shared" si="29"/>
        <v>136.90679658110477</v>
      </c>
      <c r="G85" s="2">
        <f t="shared" si="30"/>
        <v>526.81500000000005</v>
      </c>
      <c r="H85" s="2">
        <f t="shared" si="31"/>
        <v>68.453398290552386</v>
      </c>
      <c r="I85" s="2">
        <f t="shared" si="32"/>
        <v>68.453398290552386</v>
      </c>
      <c r="J85" s="2">
        <f t="shared" si="33"/>
        <v>263.40750000000003</v>
      </c>
      <c r="K85" s="2">
        <f t="shared" si="34"/>
        <v>263.40750000000003</v>
      </c>
      <c r="L85" s="2">
        <v>60</v>
      </c>
      <c r="M85" s="2">
        <v>2</v>
      </c>
      <c r="N85" s="2">
        <v>2.2799999999999998</v>
      </c>
      <c r="O85" s="2">
        <v>1.75</v>
      </c>
      <c r="P85" s="2">
        <v>14.5655</v>
      </c>
      <c r="Q85" s="2">
        <v>17.4617</v>
      </c>
      <c r="R85" s="2">
        <v>16.345800000000001</v>
      </c>
      <c r="S85" s="2">
        <v>14.2818</v>
      </c>
    </row>
    <row r="86" spans="2:19" x14ac:dyDescent="0.3">
      <c r="B86" s="2" t="s">
        <v>7</v>
      </c>
      <c r="C86" s="2">
        <v>210.5</v>
      </c>
      <c r="D86" s="2">
        <v>-154.30699999999999</v>
      </c>
      <c r="E86" s="2">
        <v>56.163200000000003</v>
      </c>
      <c r="F86" s="2">
        <f t="shared" si="29"/>
        <v>164.21009494924479</v>
      </c>
      <c r="G86" s="2">
        <f t="shared" si="30"/>
        <v>526.81500000000005</v>
      </c>
      <c r="H86" s="2">
        <f t="shared" si="31"/>
        <v>82.105047474622395</v>
      </c>
      <c r="I86" s="2">
        <f t="shared" si="32"/>
        <v>82.105047474622395</v>
      </c>
      <c r="J86" s="2">
        <f t="shared" si="33"/>
        <v>263.40750000000003</v>
      </c>
      <c r="K86" s="2">
        <f t="shared" si="34"/>
        <v>263.40750000000003</v>
      </c>
      <c r="L86" s="2">
        <v>50</v>
      </c>
      <c r="M86" s="2">
        <v>1.5</v>
      </c>
      <c r="N86" s="2">
        <v>2.2999999999999998</v>
      </c>
      <c r="O86" s="2">
        <v>1.8</v>
      </c>
      <c r="P86" s="2">
        <v>8.2157</v>
      </c>
      <c r="Q86" s="2">
        <v>9.8731000000000009</v>
      </c>
      <c r="R86" s="2">
        <v>9.2138000000000009</v>
      </c>
      <c r="S86" s="2">
        <v>8.0524000000000004</v>
      </c>
    </row>
    <row r="87" spans="2:19" x14ac:dyDescent="0.3">
      <c r="B87" s="2" t="s">
        <v>8</v>
      </c>
      <c r="C87" s="2">
        <v>259.35000000000002</v>
      </c>
      <c r="D87" s="2">
        <v>-190.1165</v>
      </c>
      <c r="E87" s="2">
        <v>69.196700000000007</v>
      </c>
      <c r="F87" s="2">
        <f t="shared" si="29"/>
        <v>202.31773739131231</v>
      </c>
      <c r="G87" s="2">
        <f t="shared" si="30"/>
        <v>526.81500000000005</v>
      </c>
      <c r="H87" s="2">
        <f t="shared" si="31"/>
        <v>101.15886869565615</v>
      </c>
      <c r="I87" s="2">
        <f t="shared" si="32"/>
        <v>101.15886869565615</v>
      </c>
      <c r="J87" s="2">
        <f t="shared" si="33"/>
        <v>263.40750000000003</v>
      </c>
      <c r="K87" s="2">
        <f t="shared" si="34"/>
        <v>263.40750000000003</v>
      </c>
      <c r="L87" s="2">
        <v>50</v>
      </c>
      <c r="M87" s="2">
        <v>0.9</v>
      </c>
      <c r="N87" s="6">
        <v>2.25</v>
      </c>
      <c r="O87" s="6">
        <v>3.15</v>
      </c>
      <c r="P87" s="2">
        <v>5.0728</v>
      </c>
      <c r="Q87" s="2">
        <v>6.0960999999999999</v>
      </c>
      <c r="R87" s="2">
        <v>5.6890999999999998</v>
      </c>
      <c r="S87" s="2">
        <v>4.9720000000000004</v>
      </c>
    </row>
    <row r="88" spans="2:19" x14ac:dyDescent="0.3">
      <c r="B88" s="2" t="s">
        <v>2</v>
      </c>
      <c r="C88" s="2">
        <v>307.27999999999997</v>
      </c>
      <c r="D88" s="2">
        <v>-109.22369999999999</v>
      </c>
      <c r="E88" s="2">
        <v>39.754199999999997</v>
      </c>
      <c r="F88" s="2">
        <f t="shared" si="29"/>
        <v>116.23344208673336</v>
      </c>
      <c r="G88" s="2">
        <f t="shared" si="30"/>
        <v>526.81500000000005</v>
      </c>
      <c r="H88" s="2">
        <f t="shared" si="31"/>
        <v>58.116721043366681</v>
      </c>
      <c r="I88" s="2">
        <f t="shared" si="32"/>
        <v>58.116721043366681</v>
      </c>
      <c r="J88" s="2">
        <f t="shared" si="33"/>
        <v>263.40750000000003</v>
      </c>
      <c r="K88" s="2">
        <f t="shared" si="34"/>
        <v>263.40750000000003</v>
      </c>
      <c r="L88" s="2">
        <v>47</v>
      </c>
      <c r="M88" s="2">
        <v>0.15</v>
      </c>
      <c r="N88" s="6">
        <v>5.4</v>
      </c>
      <c r="O88" s="6">
        <v>3.15</v>
      </c>
      <c r="P88" s="2">
        <v>4.4702000000000002</v>
      </c>
      <c r="Q88" s="2">
        <v>5.3750999999999998</v>
      </c>
      <c r="R88" s="2">
        <v>5.0124000000000004</v>
      </c>
      <c r="S88" s="2">
        <v>4.3808999999999996</v>
      </c>
    </row>
    <row r="89" spans="2:19" x14ac:dyDescent="0.3">
      <c r="B89" s="8" t="s">
        <v>9</v>
      </c>
      <c r="C89" s="8">
        <v>315.55</v>
      </c>
      <c r="D89" s="8">
        <v>-63.418399999999998</v>
      </c>
      <c r="E89" s="8">
        <v>23.0824</v>
      </c>
      <c r="F89" s="8">
        <f t="shared" si="29"/>
        <v>67.488448258350104</v>
      </c>
      <c r="G89" s="8">
        <f t="shared" si="30"/>
        <v>526.81500000000005</v>
      </c>
      <c r="H89" s="8">
        <f t="shared" si="31"/>
        <v>33.744224129175052</v>
      </c>
      <c r="I89" s="8">
        <f t="shared" si="32"/>
        <v>33.744224129175052</v>
      </c>
      <c r="J89" s="8">
        <f t="shared" si="33"/>
        <v>263.40750000000003</v>
      </c>
      <c r="K89" s="8">
        <f t="shared" si="34"/>
        <v>263.40750000000003</v>
      </c>
      <c r="L89" s="8">
        <v>40</v>
      </c>
      <c r="M89" s="8">
        <v>1.2</v>
      </c>
      <c r="N89" s="11">
        <v>2.2999999999999998</v>
      </c>
      <c r="O89" s="11">
        <v>1.88</v>
      </c>
      <c r="P89" s="8">
        <v>4.4554999999999998</v>
      </c>
      <c r="Q89" s="8">
        <v>5.3654000000000002</v>
      </c>
      <c r="R89" s="8">
        <v>4.9931999999999999</v>
      </c>
      <c r="S89" s="8">
        <v>4.3653000000000004</v>
      </c>
    </row>
  </sheetData>
  <mergeCells count="6">
    <mergeCell ref="B47:S47"/>
    <mergeCell ref="B62:S62"/>
    <mergeCell ref="B77:S77"/>
    <mergeCell ref="B2:S2"/>
    <mergeCell ref="B17:S17"/>
    <mergeCell ref="B32:S3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2025-10-29T18:43:29Z</dcterms:created>
  <dcterms:modified xsi:type="dcterms:W3CDTF">2025-11-09T10:09:16Z</dcterms:modified>
</cp:coreProperties>
</file>