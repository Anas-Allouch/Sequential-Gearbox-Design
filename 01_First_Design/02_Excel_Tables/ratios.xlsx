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"/>
    </mc:Choice>
  </mc:AlternateContent>
  <xr:revisionPtr revIDLastSave="0" documentId="13_ncr:1_{F224F2EA-E0D4-4EB8-B263-EA0DF93E167C}" xr6:coauthVersionLast="47" xr6:coauthVersionMax="47" xr10:uidLastSave="{00000000-0000-0000-0000-000000000000}"/>
  <bookViews>
    <workbookView xWindow="-108" yWindow="-108" windowWidth="23256" windowHeight="13176" xr2:uid="{7E2064F6-D478-46E3-8D83-D14C222F5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1" l="1"/>
  <c r="AA9" i="1"/>
  <c r="AD9" i="1"/>
  <c r="AF4" i="1"/>
  <c r="AF5" i="1"/>
  <c r="AF6" i="1"/>
  <c r="AF7" i="1"/>
  <c r="AF3" i="1"/>
  <c r="AE4" i="1"/>
  <c r="AE5" i="1"/>
  <c r="AE6" i="1"/>
  <c r="AE7" i="1"/>
  <c r="AE8" i="1"/>
  <c r="AD4" i="1"/>
  <c r="AD5" i="1"/>
  <c r="AD6" i="1"/>
  <c r="AD7" i="1"/>
  <c r="AD8" i="1"/>
  <c r="AA4" i="1"/>
  <c r="AA5" i="1"/>
  <c r="AA6" i="1"/>
  <c r="AA7" i="1"/>
  <c r="AA8" i="1"/>
  <c r="AC4" i="1"/>
  <c r="AC5" i="1"/>
  <c r="AC6" i="1"/>
  <c r="AC7" i="1"/>
  <c r="AC8" i="1"/>
  <c r="AC3" i="1"/>
  <c r="AE3" i="1"/>
  <c r="AB4" i="1"/>
  <c r="AB5" i="1"/>
  <c r="AB6" i="1"/>
  <c r="AB7" i="1"/>
  <c r="AB8" i="1"/>
  <c r="AB3" i="1"/>
  <c r="AA3" i="1"/>
  <c r="AD3" i="1" s="1"/>
  <c r="G15" i="1"/>
  <c r="F15" i="1"/>
  <c r="H15" i="1" s="1"/>
  <c r="G14" i="1"/>
  <c r="F14" i="1"/>
  <c r="H14" i="1" s="1"/>
  <c r="G13" i="1"/>
  <c r="F13" i="1"/>
  <c r="H13" i="1" s="1"/>
  <c r="G12" i="1"/>
  <c r="F12" i="1"/>
  <c r="H12" i="1" s="1"/>
  <c r="G11" i="1"/>
  <c r="F11" i="1"/>
  <c r="H11" i="1" s="1"/>
  <c r="H4" i="1"/>
  <c r="H5" i="1"/>
  <c r="H6" i="1"/>
  <c r="H7" i="1"/>
  <c r="H3" i="1"/>
  <c r="G4" i="1"/>
  <c r="G5" i="1"/>
  <c r="G6" i="1"/>
  <c r="G7" i="1"/>
  <c r="G3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<sst xmlns="http://schemas.openxmlformats.org/spreadsheetml/2006/main" count="29" uniqueCount="16">
  <si>
    <t>speed</t>
  </si>
  <si>
    <t>center to center distance</t>
  </si>
  <si>
    <t>din</t>
  </si>
  <si>
    <t>dout</t>
  </si>
  <si>
    <t>zin</t>
  </si>
  <si>
    <t>zout</t>
  </si>
  <si>
    <t>i</t>
  </si>
  <si>
    <t>Second assumption (taking into consideration the center to center distance)</t>
  </si>
  <si>
    <t>0.87-0.88</t>
  </si>
  <si>
    <t>diameter in inch</t>
  </si>
  <si>
    <t>reverse</t>
  </si>
  <si>
    <t>CD</t>
  </si>
  <si>
    <t>module</t>
  </si>
  <si>
    <t>zin integer</t>
  </si>
  <si>
    <t>zout integer</t>
  </si>
  <si>
    <t>idler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</si>
</sst>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86E1-DB12-464F-B3FB-55CA3DA8D10D}">
  <dimension ref="B1:AF42"/>
  <sheetViews>
    <sheetView tabSelected="1" topLeftCell="K1" zoomScale="85" zoomScaleNormal="85" workbookViewId="0">
      <selection activeCell="Z19" sqref="Z19"/>
    </sheetView>
  </sheetViews>
  <sheetFormatPr defaultRowHeight="14.4" x14ac:dyDescent="0.3"/>
  <cols>
    <col min="3" max="3" width="21.109375" bestFit="1" customWidth="1"/>
    <col min="4" max="4" width="7.21875" bestFit="1" customWidth="1"/>
    <col min="8" max="8" width="22.44140625" bestFit="1" customWidth="1"/>
    <col min="11" max="11" width="10.44140625" bestFit="1" customWidth="1"/>
    <col min="17" max="17" width="21.109375" bestFit="1" customWidth="1"/>
    <col min="18" max="19" width="22.44140625" bestFit="1" customWidth="1"/>
    <col min="27" max="27" width="10.6640625" bestFit="1" customWidth="1"/>
    <col min="28" max="29" width="12" bestFit="1" customWidth="1"/>
  </cols>
  <sheetData>
    <row r="1" spans="2:32" x14ac:dyDescent="0.3">
      <c r="B1" s="6" t="s">
        <v>9</v>
      </c>
      <c r="C1" s="6"/>
      <c r="D1" s="6"/>
      <c r="E1" s="6"/>
      <c r="F1" s="6"/>
      <c r="G1" s="6"/>
      <c r="H1" s="6"/>
      <c r="K1" s="8"/>
      <c r="L1" s="8"/>
      <c r="M1" s="8"/>
      <c r="N1" s="8"/>
      <c r="O1" s="8"/>
      <c r="P1" s="8"/>
      <c r="Q1" s="8"/>
      <c r="R1" s="9"/>
      <c r="S1" s="9"/>
      <c r="T1" s="9"/>
      <c r="U1" s="9"/>
    </row>
    <row r="2" spans="2:32" x14ac:dyDescent="0.3">
      <c r="B2" s="2" t="s">
        <v>0</v>
      </c>
      <c r="C2" s="2" t="s">
        <v>6</v>
      </c>
      <c r="D2" s="2" t="s">
        <v>4</v>
      </c>
      <c r="E2" s="2" t="s">
        <v>5</v>
      </c>
      <c r="F2" s="2" t="s">
        <v>2</v>
      </c>
      <c r="G2" s="2" t="s">
        <v>3</v>
      </c>
      <c r="H2" s="2" t="s">
        <v>1</v>
      </c>
      <c r="K2" s="10"/>
      <c r="L2" s="10"/>
      <c r="M2" s="10"/>
      <c r="N2" s="10"/>
      <c r="O2" s="10"/>
      <c r="P2" s="10"/>
      <c r="Q2" s="10"/>
      <c r="R2" s="9"/>
      <c r="S2" s="9"/>
      <c r="T2" s="9"/>
      <c r="U2" s="9"/>
      <c r="W2" s="3" t="s">
        <v>0</v>
      </c>
      <c r="X2" s="3" t="s">
        <v>12</v>
      </c>
      <c r="Y2" s="3" t="s">
        <v>6</v>
      </c>
      <c r="Z2" s="3" t="s">
        <v>4</v>
      </c>
      <c r="AA2" s="3" t="s">
        <v>13</v>
      </c>
      <c r="AB2" s="3" t="s">
        <v>5</v>
      </c>
      <c r="AC2" s="3" t="s">
        <v>14</v>
      </c>
      <c r="AD2" s="3" t="s">
        <v>2</v>
      </c>
      <c r="AE2" s="3" t="s">
        <v>3</v>
      </c>
      <c r="AF2" s="3" t="s">
        <v>11</v>
      </c>
    </row>
    <row r="3" spans="2:32" x14ac:dyDescent="0.3">
      <c r="B3" s="2">
        <v>1</v>
      </c>
      <c r="C3" s="2">
        <v>3.6</v>
      </c>
      <c r="D3" s="2">
        <v>23</v>
      </c>
      <c r="E3" s="2">
        <v>84</v>
      </c>
      <c r="F3" s="2">
        <f>D3/8</f>
        <v>2.875</v>
      </c>
      <c r="G3" s="2">
        <f>E3/8</f>
        <v>10.5</v>
      </c>
      <c r="H3" s="2">
        <f>(F3/2)+(G3/2)</f>
        <v>6.6875</v>
      </c>
      <c r="K3" s="10"/>
      <c r="L3" s="10"/>
      <c r="M3" s="10"/>
      <c r="N3" s="10"/>
      <c r="O3" s="10"/>
      <c r="P3" s="10"/>
      <c r="Q3" s="10"/>
      <c r="R3" s="9"/>
      <c r="S3" s="9"/>
      <c r="T3" s="9"/>
      <c r="U3" s="9"/>
      <c r="W3" s="3">
        <v>1</v>
      </c>
      <c r="X3" s="5">
        <v>3.5</v>
      </c>
      <c r="Y3" s="3">
        <v>3.238</v>
      </c>
      <c r="Z3" s="3">
        <v>21</v>
      </c>
      <c r="AA3" s="3">
        <f>TRUNC(Z3)</f>
        <v>21</v>
      </c>
      <c r="AB3" s="3">
        <f>Y3*Z3</f>
        <v>67.998000000000005</v>
      </c>
      <c r="AC3" s="3">
        <f>ROUND(AB3,0)</f>
        <v>68</v>
      </c>
      <c r="AD3" s="3">
        <f>$X$3*AA3</f>
        <v>73.5</v>
      </c>
      <c r="AE3" s="3">
        <f>$X$3*AC3</f>
        <v>238</v>
      </c>
      <c r="AF3" s="3">
        <f>(AE3+AD3)/2</f>
        <v>155.75</v>
      </c>
    </row>
    <row r="4" spans="2:32" x14ac:dyDescent="0.3">
      <c r="B4" s="2">
        <v>2</v>
      </c>
      <c r="C4" s="2">
        <v>2.5499999999999998</v>
      </c>
      <c r="D4" s="2">
        <v>31</v>
      </c>
      <c r="E4" s="2">
        <v>79</v>
      </c>
      <c r="F4" s="2">
        <f t="shared" ref="F4:F7" si="0">D4/8</f>
        <v>3.875</v>
      </c>
      <c r="G4" s="2">
        <f t="shared" ref="G4:G7" si="1">E4/8</f>
        <v>9.875</v>
      </c>
      <c r="H4" s="2">
        <f t="shared" ref="H4:H7" si="2">(F4/2)+(G4/2)</f>
        <v>6.875</v>
      </c>
      <c r="K4" s="10"/>
      <c r="L4" s="10"/>
      <c r="M4" s="10"/>
      <c r="N4" s="10"/>
      <c r="O4" s="10"/>
      <c r="P4" s="10"/>
      <c r="Q4" s="10"/>
      <c r="R4" s="9"/>
      <c r="S4" s="9"/>
      <c r="T4" s="9"/>
      <c r="U4" s="9"/>
      <c r="W4" s="3">
        <v>2</v>
      </c>
      <c r="X4" s="5"/>
      <c r="Y4" s="3">
        <v>2.7082999999999999</v>
      </c>
      <c r="Z4" s="3">
        <v>24</v>
      </c>
      <c r="AA4" s="3">
        <f t="shared" ref="AA4:AA9" si="3">TRUNC(Z4)</f>
        <v>24</v>
      </c>
      <c r="AB4" s="3">
        <f t="shared" ref="AB4:AB8" si="4">Y4*Z4</f>
        <v>64.999200000000002</v>
      </c>
      <c r="AC4" s="3">
        <f t="shared" ref="AC4:AC8" si="5">ROUND(AB4,0)</f>
        <v>65</v>
      </c>
      <c r="AD4" s="3">
        <f t="shared" ref="AD4:AD9" si="6">$X$3*AA4</f>
        <v>84</v>
      </c>
      <c r="AE4" s="3">
        <f t="shared" ref="AE4:AE8" si="7">$X$3*AC4</f>
        <v>227.5</v>
      </c>
      <c r="AF4" s="3">
        <f t="shared" ref="AF4:AF7" si="8">(AE4+AD4)/2</f>
        <v>155.75</v>
      </c>
    </row>
    <row r="5" spans="2:32" x14ac:dyDescent="0.3">
      <c r="B5" s="2">
        <v>3</v>
      </c>
      <c r="C5" s="2">
        <v>1.79</v>
      </c>
      <c r="D5" s="2">
        <v>37</v>
      </c>
      <c r="E5" s="2">
        <v>66</v>
      </c>
      <c r="F5" s="2">
        <f t="shared" si="0"/>
        <v>4.625</v>
      </c>
      <c r="G5" s="2">
        <f t="shared" si="1"/>
        <v>8.25</v>
      </c>
      <c r="H5" s="2">
        <f t="shared" si="2"/>
        <v>6.4375</v>
      </c>
      <c r="K5" s="10"/>
      <c r="L5" s="10"/>
      <c r="M5" s="10"/>
      <c r="N5" s="10"/>
      <c r="O5" s="10"/>
      <c r="P5" s="10"/>
      <c r="Q5" s="10"/>
      <c r="R5" s="9"/>
      <c r="S5" s="9"/>
      <c r="T5" s="9"/>
      <c r="U5" s="9"/>
      <c r="W5" s="3">
        <v>3</v>
      </c>
      <c r="X5" s="5"/>
      <c r="Y5" s="3">
        <v>2.1785999999999999</v>
      </c>
      <c r="Z5" s="3">
        <v>28</v>
      </c>
      <c r="AA5" s="3">
        <f t="shared" si="3"/>
        <v>28</v>
      </c>
      <c r="AB5" s="3">
        <f t="shared" si="4"/>
        <v>61.000799999999998</v>
      </c>
      <c r="AC5" s="3">
        <f t="shared" si="5"/>
        <v>61</v>
      </c>
      <c r="AD5" s="3">
        <f t="shared" si="6"/>
        <v>98</v>
      </c>
      <c r="AE5" s="3">
        <f t="shared" si="7"/>
        <v>213.5</v>
      </c>
      <c r="AF5" s="3">
        <f t="shared" si="8"/>
        <v>155.75</v>
      </c>
    </row>
    <row r="6" spans="2:32" x14ac:dyDescent="0.3">
      <c r="B6" s="2">
        <v>4</v>
      </c>
      <c r="C6" s="2">
        <v>1.25</v>
      </c>
      <c r="D6" s="2">
        <v>45</v>
      </c>
      <c r="E6" s="2">
        <v>56</v>
      </c>
      <c r="F6" s="2">
        <f t="shared" si="0"/>
        <v>5.625</v>
      </c>
      <c r="G6" s="2">
        <f t="shared" si="1"/>
        <v>7</v>
      </c>
      <c r="H6" s="2">
        <f t="shared" si="2"/>
        <v>6.3125</v>
      </c>
      <c r="K6" s="10"/>
      <c r="L6" s="10"/>
      <c r="M6" s="10"/>
      <c r="N6" s="10"/>
      <c r="O6" s="10"/>
      <c r="P6" s="10"/>
      <c r="Q6" s="10"/>
      <c r="R6" s="9"/>
      <c r="S6" s="9"/>
      <c r="T6" s="9"/>
      <c r="U6" s="9"/>
      <c r="W6" s="3">
        <v>4</v>
      </c>
      <c r="X6" s="5"/>
      <c r="Y6" s="3">
        <v>1.6970000000000001</v>
      </c>
      <c r="Z6" s="3">
        <v>33</v>
      </c>
      <c r="AA6" s="3">
        <f t="shared" si="3"/>
        <v>33</v>
      </c>
      <c r="AB6" s="3">
        <f t="shared" si="4"/>
        <v>56.001000000000005</v>
      </c>
      <c r="AC6" s="3">
        <f t="shared" si="5"/>
        <v>56</v>
      </c>
      <c r="AD6" s="3">
        <f t="shared" si="6"/>
        <v>115.5</v>
      </c>
      <c r="AE6" s="3">
        <f t="shared" si="7"/>
        <v>196</v>
      </c>
      <c r="AF6" s="3">
        <f t="shared" si="8"/>
        <v>155.75</v>
      </c>
    </row>
    <row r="7" spans="2:32" x14ac:dyDescent="0.3">
      <c r="B7" s="2">
        <v>5</v>
      </c>
      <c r="C7" s="2">
        <v>0.87</v>
      </c>
      <c r="D7" s="2">
        <v>51</v>
      </c>
      <c r="E7" s="2">
        <v>44</v>
      </c>
      <c r="F7" s="2">
        <f t="shared" si="0"/>
        <v>6.375</v>
      </c>
      <c r="G7" s="2">
        <f t="shared" si="1"/>
        <v>5.5</v>
      </c>
      <c r="H7" s="2">
        <f t="shared" si="2"/>
        <v>5.9375</v>
      </c>
      <c r="K7" s="10"/>
      <c r="L7" s="10"/>
      <c r="M7" s="10"/>
      <c r="N7" s="10"/>
      <c r="O7" s="10"/>
      <c r="P7" s="10"/>
      <c r="Q7" s="10"/>
      <c r="R7" s="9"/>
      <c r="S7" s="9"/>
      <c r="T7" s="9"/>
      <c r="U7" s="9"/>
      <c r="W7" s="3">
        <v>5</v>
      </c>
      <c r="X7" s="5"/>
      <c r="Y7" s="3">
        <v>1.1707000000000001</v>
      </c>
      <c r="Z7" s="3">
        <v>41</v>
      </c>
      <c r="AA7" s="3">
        <f t="shared" si="3"/>
        <v>41</v>
      </c>
      <c r="AB7" s="3">
        <f t="shared" si="4"/>
        <v>47.998699999999999</v>
      </c>
      <c r="AC7" s="3">
        <f t="shared" si="5"/>
        <v>48</v>
      </c>
      <c r="AD7" s="3">
        <f t="shared" si="6"/>
        <v>143.5</v>
      </c>
      <c r="AE7" s="3">
        <f t="shared" si="7"/>
        <v>168</v>
      </c>
      <c r="AF7" s="3">
        <f t="shared" si="8"/>
        <v>155.75</v>
      </c>
    </row>
    <row r="8" spans="2:32" x14ac:dyDescent="0.3">
      <c r="K8" s="9"/>
      <c r="L8" s="9"/>
      <c r="M8" s="9"/>
      <c r="N8" s="9"/>
      <c r="O8" s="9"/>
      <c r="P8" s="9"/>
      <c r="Q8" s="9"/>
      <c r="R8" s="9"/>
      <c r="S8" s="9"/>
      <c r="T8" s="9"/>
      <c r="U8" s="9"/>
      <c r="W8" s="3" t="s">
        <v>10</v>
      </c>
      <c r="X8" s="5"/>
      <c r="Y8" s="3">
        <v>3.05</v>
      </c>
      <c r="Z8" s="3">
        <v>20</v>
      </c>
      <c r="AA8" s="3">
        <f t="shared" si="3"/>
        <v>20</v>
      </c>
      <c r="AB8" s="3">
        <f t="shared" si="4"/>
        <v>61</v>
      </c>
      <c r="AC8" s="3">
        <f t="shared" si="5"/>
        <v>61</v>
      </c>
      <c r="AD8" s="3">
        <f t="shared" si="6"/>
        <v>70</v>
      </c>
      <c r="AE8" s="3">
        <f t="shared" si="7"/>
        <v>213.5</v>
      </c>
      <c r="AF8" s="5">
        <f>SQRT((AD8/2 + AD9/2)^2+(AE8/2 + AD9/2)^2)</f>
        <v>155.75</v>
      </c>
    </row>
    <row r="9" spans="2:32" x14ac:dyDescent="0.3">
      <c r="B9" s="7" t="s">
        <v>7</v>
      </c>
      <c r="C9" s="7"/>
      <c r="D9" s="7"/>
      <c r="E9" s="7"/>
      <c r="F9" s="7"/>
      <c r="G9" s="7"/>
      <c r="H9" s="7"/>
      <c r="K9" s="8"/>
      <c r="L9" s="8"/>
      <c r="M9" s="8"/>
      <c r="N9" s="8"/>
      <c r="O9" s="8"/>
      <c r="P9" s="8"/>
      <c r="Q9" s="8"/>
      <c r="R9" s="9"/>
      <c r="S9" s="9"/>
      <c r="T9" s="9"/>
      <c r="U9" s="9"/>
      <c r="W9" s="3" t="s">
        <v>15</v>
      </c>
      <c r="X9" s="5"/>
      <c r="Y9" s="4"/>
      <c r="Z9" s="3">
        <v>19</v>
      </c>
      <c r="AA9" s="3">
        <f t="shared" si="3"/>
        <v>19</v>
      </c>
      <c r="AB9" s="4"/>
      <c r="AC9" s="4"/>
      <c r="AD9" s="3">
        <f t="shared" si="6"/>
        <v>66.5</v>
      </c>
      <c r="AE9" s="4"/>
      <c r="AF9" s="5"/>
    </row>
    <row r="10" spans="2:32" x14ac:dyDescent="0.3">
      <c r="B10" s="3" t="s">
        <v>0</v>
      </c>
      <c r="C10" s="3" t="s">
        <v>6</v>
      </c>
      <c r="D10" s="3" t="s">
        <v>4</v>
      </c>
      <c r="E10" s="3" t="s">
        <v>5</v>
      </c>
      <c r="F10" s="3" t="s">
        <v>2</v>
      </c>
      <c r="G10" s="3" t="s">
        <v>3</v>
      </c>
      <c r="H10" s="3" t="s">
        <v>1</v>
      </c>
      <c r="K10" s="10"/>
      <c r="L10" s="10"/>
      <c r="M10" s="10"/>
      <c r="N10" s="10"/>
      <c r="O10" s="10"/>
      <c r="P10" s="10"/>
      <c r="Q10" s="10"/>
      <c r="R10" s="10"/>
      <c r="S10" s="9"/>
      <c r="T10" s="9"/>
      <c r="U10" s="9"/>
    </row>
    <row r="11" spans="2:32" x14ac:dyDescent="0.3">
      <c r="B11" s="3">
        <v>1</v>
      </c>
      <c r="C11" s="3">
        <v>3.6</v>
      </c>
      <c r="D11" s="3">
        <v>23</v>
      </c>
      <c r="E11" s="3">
        <v>84</v>
      </c>
      <c r="F11" s="3">
        <f>D11/8</f>
        <v>2.875</v>
      </c>
      <c r="G11" s="3">
        <f>E11/8</f>
        <v>10.5</v>
      </c>
      <c r="H11" s="3">
        <f>(F11/2)+(G11/2)</f>
        <v>6.6875</v>
      </c>
      <c r="K11" s="10"/>
      <c r="L11" s="10"/>
      <c r="M11" s="10"/>
      <c r="N11" s="10"/>
      <c r="O11" s="10"/>
      <c r="P11" s="10"/>
      <c r="Q11" s="10"/>
      <c r="R11" s="10"/>
      <c r="S11" s="9"/>
      <c r="T11" s="9"/>
      <c r="U11" s="9"/>
    </row>
    <row r="12" spans="2:32" x14ac:dyDescent="0.3">
      <c r="B12" s="3">
        <v>2</v>
      </c>
      <c r="C12" s="3">
        <v>2.5499999999999998</v>
      </c>
      <c r="D12" s="3">
        <v>30</v>
      </c>
      <c r="E12" s="3">
        <v>77</v>
      </c>
      <c r="F12" s="3">
        <f t="shared" ref="F12:F15" si="9">D12/8</f>
        <v>3.75</v>
      </c>
      <c r="G12" s="3">
        <f t="shared" ref="G12:G15" si="10">E12/8</f>
        <v>9.625</v>
      </c>
      <c r="H12" s="3">
        <f t="shared" ref="H12:H15" si="11">(F12/2)+(G12/2)</f>
        <v>6.6875</v>
      </c>
      <c r="K12" s="10"/>
      <c r="L12" s="10"/>
      <c r="M12" s="10"/>
      <c r="N12" s="10"/>
      <c r="O12" s="10"/>
      <c r="P12" s="10"/>
      <c r="Q12" s="10"/>
      <c r="R12" s="10"/>
      <c r="S12" s="9"/>
      <c r="T12" s="9"/>
      <c r="U12" s="9"/>
    </row>
    <row r="13" spans="2:32" x14ac:dyDescent="0.3">
      <c r="B13" s="3">
        <v>3</v>
      </c>
      <c r="C13" s="3">
        <v>1.74</v>
      </c>
      <c r="D13" s="3">
        <v>39</v>
      </c>
      <c r="E13" s="3">
        <v>68</v>
      </c>
      <c r="F13" s="3">
        <f t="shared" si="9"/>
        <v>4.875</v>
      </c>
      <c r="G13" s="3">
        <f t="shared" si="10"/>
        <v>8.5</v>
      </c>
      <c r="H13" s="3">
        <f t="shared" si="11"/>
        <v>6.6875</v>
      </c>
      <c r="K13" s="10"/>
      <c r="L13" s="10"/>
      <c r="M13" s="10"/>
      <c r="N13" s="10"/>
      <c r="O13" s="10"/>
      <c r="P13" s="10"/>
      <c r="Q13" s="10"/>
      <c r="R13" s="10"/>
      <c r="S13" s="9"/>
      <c r="T13" s="9"/>
      <c r="U13" s="9"/>
    </row>
    <row r="14" spans="2:32" x14ac:dyDescent="0.3">
      <c r="B14" s="3">
        <v>4</v>
      </c>
      <c r="C14" s="3">
        <v>1.32</v>
      </c>
      <c r="D14" s="3">
        <v>46</v>
      </c>
      <c r="E14" s="3">
        <v>61</v>
      </c>
      <c r="F14" s="3">
        <f t="shared" si="9"/>
        <v>5.75</v>
      </c>
      <c r="G14" s="3">
        <f t="shared" si="10"/>
        <v>7.625</v>
      </c>
      <c r="H14" s="3">
        <f t="shared" si="11"/>
        <v>6.6875</v>
      </c>
      <c r="K14" s="10"/>
      <c r="L14" s="10"/>
      <c r="M14" s="10"/>
      <c r="N14" s="10"/>
      <c r="O14" s="10"/>
      <c r="P14" s="10"/>
      <c r="Q14" s="10"/>
      <c r="R14" s="10"/>
      <c r="S14" s="9"/>
      <c r="T14" s="9"/>
      <c r="U14" s="9"/>
    </row>
    <row r="15" spans="2:32" x14ac:dyDescent="0.3">
      <c r="B15" s="3">
        <v>5</v>
      </c>
      <c r="C15" s="3" t="s">
        <v>8</v>
      </c>
      <c r="D15" s="3">
        <v>57</v>
      </c>
      <c r="E15" s="3">
        <v>50</v>
      </c>
      <c r="F15" s="3">
        <f t="shared" si="9"/>
        <v>7.125</v>
      </c>
      <c r="G15" s="3">
        <f t="shared" si="10"/>
        <v>6.25</v>
      </c>
      <c r="H15" s="3">
        <f t="shared" si="11"/>
        <v>6.6875</v>
      </c>
      <c r="K15" s="10"/>
      <c r="L15" s="10"/>
      <c r="M15" s="10"/>
      <c r="N15" s="10"/>
      <c r="O15" s="10"/>
      <c r="P15" s="10"/>
      <c r="Q15" s="10"/>
      <c r="R15" s="10"/>
      <c r="S15" s="9"/>
      <c r="T15" s="9"/>
      <c r="U15" s="9"/>
    </row>
    <row r="16" spans="2:32" x14ac:dyDescent="0.3">
      <c r="C16" s="1"/>
      <c r="D16" s="1"/>
      <c r="E16" s="1"/>
      <c r="F16" s="1"/>
      <c r="G16" s="1"/>
      <c r="H16" s="1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1:21" x14ac:dyDescent="0.3">
      <c r="K17" s="8"/>
      <c r="L17" s="8"/>
      <c r="M17" s="8"/>
      <c r="N17" s="8"/>
      <c r="O17" s="8"/>
      <c r="P17" s="8"/>
      <c r="Q17" s="8"/>
      <c r="R17" s="8"/>
      <c r="S17" s="8"/>
      <c r="T17" s="9"/>
      <c r="U17" s="9"/>
    </row>
    <row r="18" spans="11:21" x14ac:dyDescent="0.3">
      <c r="K18" s="10"/>
      <c r="L18" s="10"/>
      <c r="M18" s="10"/>
      <c r="N18" s="10"/>
      <c r="O18" s="10"/>
      <c r="P18" s="10"/>
      <c r="Q18" s="10"/>
      <c r="R18" s="10"/>
      <c r="S18" s="10"/>
      <c r="T18" s="9"/>
      <c r="U18" s="9"/>
    </row>
    <row r="19" spans="11:21" x14ac:dyDescent="0.3">
      <c r="K19" s="10"/>
      <c r="L19" s="10"/>
      <c r="M19" s="10"/>
      <c r="N19" s="10"/>
      <c r="O19" s="10"/>
      <c r="P19" s="10"/>
      <c r="Q19" s="10"/>
      <c r="R19" s="10"/>
      <c r="S19" s="9"/>
      <c r="T19" s="9"/>
      <c r="U19" s="9"/>
    </row>
    <row r="20" spans="11:21" x14ac:dyDescent="0.3">
      <c r="K20" s="10"/>
      <c r="L20" s="10"/>
      <c r="M20" s="10"/>
      <c r="N20" s="10"/>
      <c r="O20" s="10"/>
      <c r="P20" s="10"/>
      <c r="Q20" s="10"/>
      <c r="R20" s="10"/>
      <c r="S20" s="9"/>
      <c r="T20" s="9"/>
      <c r="U20" s="9"/>
    </row>
    <row r="21" spans="11:21" x14ac:dyDescent="0.3">
      <c r="K21" s="10"/>
      <c r="L21" s="10"/>
      <c r="M21" s="10"/>
      <c r="N21" s="10"/>
      <c r="O21" s="10"/>
      <c r="P21" s="10"/>
      <c r="Q21" s="10"/>
      <c r="R21" s="10"/>
      <c r="S21" s="9"/>
      <c r="T21" s="9"/>
      <c r="U21" s="9"/>
    </row>
    <row r="22" spans="11:21" x14ac:dyDescent="0.3">
      <c r="K22" s="10"/>
      <c r="L22" s="10"/>
      <c r="M22" s="10"/>
      <c r="N22" s="10"/>
      <c r="O22" s="10"/>
      <c r="P22" s="10"/>
      <c r="Q22" s="10"/>
      <c r="R22" s="10"/>
      <c r="S22" s="9"/>
      <c r="T22" s="9"/>
      <c r="U22" s="9"/>
    </row>
    <row r="23" spans="11:21" x14ac:dyDescent="0.3">
      <c r="K23" s="10"/>
      <c r="L23" s="10"/>
      <c r="M23" s="10"/>
      <c r="N23" s="10"/>
      <c r="O23" s="10"/>
      <c r="P23" s="10"/>
      <c r="Q23" s="10"/>
      <c r="R23" s="10"/>
      <c r="S23" s="9"/>
      <c r="T23" s="9"/>
      <c r="U23" s="9"/>
    </row>
    <row r="24" spans="11:21" x14ac:dyDescent="0.3"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1:21" x14ac:dyDescent="0.3"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</row>
    <row r="26" spans="11:21" x14ac:dyDescent="0.3"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9"/>
    </row>
    <row r="27" spans="11:21" x14ac:dyDescent="0.3">
      <c r="K27" s="10"/>
      <c r="L27" s="10"/>
      <c r="M27" s="10"/>
      <c r="N27" s="9"/>
      <c r="O27" s="10"/>
      <c r="P27" s="10"/>
      <c r="Q27" s="10"/>
      <c r="R27" s="10"/>
      <c r="S27" s="10"/>
      <c r="T27" s="9"/>
      <c r="U27" s="9"/>
    </row>
    <row r="28" spans="11:21" x14ac:dyDescent="0.3">
      <c r="K28" s="10"/>
      <c r="L28" s="10"/>
      <c r="M28" s="10"/>
      <c r="N28" s="9"/>
      <c r="O28" s="10"/>
      <c r="P28" s="10"/>
      <c r="Q28" s="10"/>
      <c r="R28" s="10"/>
      <c r="S28" s="10"/>
      <c r="T28" s="9"/>
      <c r="U28" s="9"/>
    </row>
    <row r="29" spans="11:21" x14ac:dyDescent="0.3">
      <c r="K29" s="10"/>
      <c r="L29" s="10"/>
      <c r="M29" s="10"/>
      <c r="N29" s="9"/>
      <c r="O29" s="10"/>
      <c r="P29" s="10"/>
      <c r="Q29" s="10"/>
      <c r="R29" s="10"/>
      <c r="S29" s="10"/>
      <c r="T29" s="9"/>
      <c r="U29" s="9"/>
    </row>
    <row r="30" spans="11:21" x14ac:dyDescent="0.3">
      <c r="K30" s="10"/>
      <c r="L30" s="10"/>
      <c r="M30" s="10"/>
      <c r="N30" s="9"/>
      <c r="O30" s="10"/>
      <c r="P30" s="10"/>
      <c r="Q30" s="10"/>
      <c r="R30" s="10"/>
      <c r="S30" s="10"/>
      <c r="T30" s="9"/>
      <c r="U30" s="9"/>
    </row>
    <row r="31" spans="11:21" x14ac:dyDescent="0.3">
      <c r="K31" s="10"/>
      <c r="L31" s="10"/>
      <c r="M31" s="10"/>
      <c r="N31" s="9"/>
      <c r="O31" s="10"/>
      <c r="P31" s="10"/>
      <c r="Q31" s="10"/>
      <c r="R31" s="10"/>
      <c r="S31" s="10"/>
      <c r="T31" s="9"/>
      <c r="U31" s="9"/>
    </row>
    <row r="32" spans="11:21" x14ac:dyDescent="0.3"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1:21" x14ac:dyDescent="0.3"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1:21" x14ac:dyDescent="0.3">
      <c r="K34" s="8"/>
      <c r="L34" s="8"/>
      <c r="M34" s="8"/>
      <c r="N34" s="8"/>
      <c r="O34" s="8"/>
      <c r="P34" s="8"/>
      <c r="Q34" s="8"/>
      <c r="R34" s="8"/>
      <c r="S34" s="8"/>
      <c r="T34" s="8"/>
      <c r="U34" s="9"/>
    </row>
    <row r="35" spans="11:21" x14ac:dyDescent="0.3"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9"/>
    </row>
    <row r="36" spans="11:21" x14ac:dyDescent="0.3">
      <c r="K36" s="10"/>
      <c r="L36" s="10"/>
      <c r="M36" s="10"/>
      <c r="N36" s="9"/>
      <c r="O36" s="10"/>
      <c r="P36" s="10"/>
      <c r="Q36" s="10"/>
      <c r="R36" s="10"/>
      <c r="S36" s="10"/>
      <c r="T36" s="9"/>
      <c r="U36" s="9"/>
    </row>
    <row r="37" spans="11:21" x14ac:dyDescent="0.3">
      <c r="K37" s="10"/>
      <c r="L37" s="10"/>
      <c r="M37" s="10"/>
      <c r="N37" s="9"/>
      <c r="O37" s="10"/>
      <c r="P37" s="10"/>
      <c r="Q37" s="10"/>
      <c r="R37" s="10"/>
      <c r="S37" s="10"/>
      <c r="T37" s="9"/>
      <c r="U37" s="9"/>
    </row>
    <row r="38" spans="11:21" x14ac:dyDescent="0.3">
      <c r="K38" s="10"/>
      <c r="L38" s="10"/>
      <c r="M38" s="10"/>
      <c r="N38" s="9"/>
      <c r="O38" s="10"/>
      <c r="P38" s="10"/>
      <c r="Q38" s="10"/>
      <c r="R38" s="10"/>
      <c r="S38" s="10"/>
      <c r="T38" s="9"/>
      <c r="U38" s="9"/>
    </row>
    <row r="39" spans="11:21" x14ac:dyDescent="0.3">
      <c r="K39" s="10"/>
      <c r="L39" s="10"/>
      <c r="M39" s="10"/>
      <c r="N39" s="9"/>
      <c r="O39" s="10"/>
      <c r="P39" s="10"/>
      <c r="Q39" s="10"/>
      <c r="R39" s="10"/>
      <c r="S39" s="10"/>
      <c r="T39" s="9"/>
      <c r="U39" s="9"/>
    </row>
    <row r="40" spans="11:21" x14ac:dyDescent="0.3">
      <c r="K40" s="10"/>
      <c r="L40" s="10"/>
      <c r="M40" s="10"/>
      <c r="N40" s="9"/>
      <c r="O40" s="10"/>
      <c r="P40" s="10"/>
      <c r="Q40" s="10"/>
      <c r="R40" s="10"/>
      <c r="S40" s="10"/>
      <c r="T40" s="9"/>
      <c r="U40" s="9"/>
    </row>
    <row r="41" spans="11:21" x14ac:dyDescent="0.3">
      <c r="K41" s="10"/>
      <c r="L41" s="9"/>
      <c r="M41" s="10"/>
      <c r="N41" s="9"/>
      <c r="O41" s="10"/>
      <c r="P41" s="10"/>
      <c r="Q41" s="10"/>
      <c r="R41" s="10"/>
      <c r="S41" s="10"/>
      <c r="T41" s="9"/>
      <c r="U41" s="9"/>
    </row>
    <row r="42" spans="11:21" x14ac:dyDescent="0.3">
      <c r="K42" s="2"/>
      <c r="O42" s="2"/>
      <c r="P42" s="2"/>
      <c r="Q42" s="2"/>
      <c r="R42" s="2"/>
      <c r="S42" s="2"/>
    </row>
  </sheetData>
  <mergeCells count="4">
    <mergeCell ref="AF8:AF9"/>
    <mergeCell ref="B9:H9"/>
    <mergeCell ref="B1:H1"/>
    <mergeCell ref="X3:X9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2025-10-02T22:41:45Z</dcterms:created>
  <dcterms:modified xsi:type="dcterms:W3CDTF">2025-11-21T11:57:41Z</dcterms:modified>
</cp:coreProperties>
</file>