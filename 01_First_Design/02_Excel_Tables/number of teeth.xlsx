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sa\OneDrive\Desktop\Gearbox Project\Excel Files\Important\"/>
    </mc:Choice>
  </mc:AlternateContent>
  <xr:revisionPtr revIDLastSave="0" documentId="13_ncr:1_{BFC478A7-D09F-430D-A68E-1B36D67B595C}" xr6:coauthVersionLast="47" xr6:coauthVersionMax="47" xr10:uidLastSave="{00000000-0000-0000-0000-000000000000}"/>
  <bookViews>
    <workbookView xWindow="-108" yWindow="-108" windowWidth="23256" windowHeight="13176" xr2:uid="{27FBD83B-40A6-4CF0-AFE4-4277E26416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3" i="1"/>
  <c r="I4" i="1"/>
  <c r="I5" i="1"/>
  <c r="I6" i="1"/>
  <c r="I7" i="1"/>
  <c r="I8" i="1"/>
  <c r="I9" i="1"/>
  <c r="I3" i="1"/>
  <c r="F9" i="1"/>
  <c r="G8" i="1"/>
  <c r="H8" i="1" s="1"/>
  <c r="F8" i="1"/>
  <c r="G7" i="1"/>
  <c r="H7" i="1" s="1"/>
  <c r="F7" i="1"/>
  <c r="G6" i="1"/>
  <c r="H6" i="1" s="1"/>
  <c r="F6" i="1"/>
  <c r="G5" i="1"/>
  <c r="H5" i="1" s="1"/>
  <c r="F5" i="1"/>
  <c r="G4" i="1"/>
  <c r="H4" i="1" s="1"/>
  <c r="F4" i="1"/>
  <c r="G3" i="1"/>
  <c r="H3" i="1" s="1"/>
  <c r="F3" i="1"/>
  <c r="K3" i="1" l="1"/>
  <c r="K4" i="1"/>
  <c r="K5" i="1"/>
  <c r="K6" i="1"/>
  <c r="K7" i="1"/>
  <c r="K8" i="1"/>
</calcChain>
</file>

<file path=xl/sharedStrings.xml><?xml version="1.0" encoding="utf-8"?>
<sst xmlns="http://schemas.openxmlformats.org/spreadsheetml/2006/main" count="12" uniqueCount="12">
  <si>
    <t>speed</t>
  </si>
  <si>
    <t>module</t>
  </si>
  <si>
    <t>i</t>
  </si>
  <si>
    <t>zin</t>
  </si>
  <si>
    <t>zin integer</t>
  </si>
  <si>
    <t>zout</t>
  </si>
  <si>
    <t>zout integer</t>
  </si>
  <si>
    <t>din</t>
  </si>
  <si>
    <t>dout</t>
  </si>
  <si>
    <t>CD</t>
  </si>
  <si>
    <t>reverse</t>
  </si>
  <si>
    <t>idler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</si>
</sst>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79C52-8819-4A11-895D-800D6696D2F3}">
  <dimension ref="B2:K9"/>
  <sheetViews>
    <sheetView tabSelected="1" workbookViewId="0">
      <selection activeCell="D3" sqref="D3"/>
    </sheetView>
  </sheetViews>
  <sheetFormatPr defaultRowHeight="14.4" x14ac:dyDescent="0.3"/>
  <sheetData>
    <row r="2" spans="2:1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 spans="2:11" x14ac:dyDescent="0.3">
      <c r="B3" s="1">
        <v>1</v>
      </c>
      <c r="C3" s="3">
        <v>3.5</v>
      </c>
      <c r="D3" s="1">
        <v>3.238</v>
      </c>
      <c r="E3" s="1">
        <v>21</v>
      </c>
      <c r="F3" s="1">
        <f>TRUNC(E3)</f>
        <v>21</v>
      </c>
      <c r="G3" s="1">
        <f>D3*E3</f>
        <v>67.998000000000005</v>
      </c>
      <c r="H3" s="1">
        <f>ROUND(G3,0)</f>
        <v>68</v>
      </c>
      <c r="I3" s="1">
        <f>$C$3*F3</f>
        <v>73.5</v>
      </c>
      <c r="J3" s="1">
        <f>$C$3*H3</f>
        <v>238</v>
      </c>
      <c r="K3" s="1">
        <f>(J3+I3)/2</f>
        <v>155.75</v>
      </c>
    </row>
    <row r="4" spans="2:11" x14ac:dyDescent="0.3">
      <c r="B4" s="1">
        <v>2</v>
      </c>
      <c r="C4" s="3"/>
      <c r="D4" s="1">
        <v>2.7082999999999999</v>
      </c>
      <c r="E4" s="1">
        <v>24</v>
      </c>
      <c r="F4" s="1">
        <f t="shared" ref="F4:F9" si="0">TRUNC(E4)</f>
        <v>24</v>
      </c>
      <c r="G4" s="1">
        <f t="shared" ref="G4:G8" si="1">D4*E4</f>
        <v>64.999200000000002</v>
      </c>
      <c r="H4" s="1">
        <f t="shared" ref="H4:H8" si="2">ROUND(G4,0)</f>
        <v>65</v>
      </c>
      <c r="I4" s="1">
        <f t="shared" ref="I4:I9" si="3">$C$3*F4</f>
        <v>84</v>
      </c>
      <c r="J4" s="1">
        <f t="shared" ref="J4:J8" si="4">$C$3*H4</f>
        <v>227.5</v>
      </c>
      <c r="K4" s="1">
        <f t="shared" ref="K4:K7" si="5">(J4+I4)/2</f>
        <v>155.75</v>
      </c>
    </row>
    <row r="5" spans="2:11" x14ac:dyDescent="0.3">
      <c r="B5" s="1">
        <v>3</v>
      </c>
      <c r="C5" s="3"/>
      <c r="D5" s="1">
        <v>2.1785999999999999</v>
      </c>
      <c r="E5" s="1">
        <v>28</v>
      </c>
      <c r="F5" s="1">
        <f t="shared" si="0"/>
        <v>28</v>
      </c>
      <c r="G5" s="1">
        <f t="shared" si="1"/>
        <v>61.000799999999998</v>
      </c>
      <c r="H5" s="1">
        <f t="shared" si="2"/>
        <v>61</v>
      </c>
      <c r="I5" s="1">
        <f t="shared" si="3"/>
        <v>98</v>
      </c>
      <c r="J5" s="1">
        <f t="shared" si="4"/>
        <v>213.5</v>
      </c>
      <c r="K5" s="1">
        <f t="shared" si="5"/>
        <v>155.75</v>
      </c>
    </row>
    <row r="6" spans="2:11" x14ac:dyDescent="0.3">
      <c r="B6" s="1">
        <v>4</v>
      </c>
      <c r="C6" s="3"/>
      <c r="D6" s="1">
        <v>1.6970000000000001</v>
      </c>
      <c r="E6" s="1">
        <v>33</v>
      </c>
      <c r="F6" s="1">
        <f t="shared" si="0"/>
        <v>33</v>
      </c>
      <c r="G6" s="1">
        <f t="shared" si="1"/>
        <v>56.001000000000005</v>
      </c>
      <c r="H6" s="1">
        <f t="shared" si="2"/>
        <v>56</v>
      </c>
      <c r="I6" s="1">
        <f t="shared" si="3"/>
        <v>115.5</v>
      </c>
      <c r="J6" s="1">
        <f t="shared" si="4"/>
        <v>196</v>
      </c>
      <c r="K6" s="1">
        <f t="shared" si="5"/>
        <v>155.75</v>
      </c>
    </row>
    <row r="7" spans="2:11" x14ac:dyDescent="0.3">
      <c r="B7" s="1">
        <v>5</v>
      </c>
      <c r="C7" s="3"/>
      <c r="D7" s="1">
        <v>1.1707000000000001</v>
      </c>
      <c r="E7" s="1">
        <v>41</v>
      </c>
      <c r="F7" s="1">
        <f t="shared" si="0"/>
        <v>41</v>
      </c>
      <c r="G7" s="1">
        <f t="shared" si="1"/>
        <v>47.998699999999999</v>
      </c>
      <c r="H7" s="1">
        <f t="shared" si="2"/>
        <v>48</v>
      </c>
      <c r="I7" s="1">
        <f t="shared" si="3"/>
        <v>143.5</v>
      </c>
      <c r="J7" s="1">
        <f t="shared" si="4"/>
        <v>168</v>
      </c>
      <c r="K7" s="1">
        <f t="shared" si="5"/>
        <v>155.75</v>
      </c>
    </row>
    <row r="8" spans="2:11" x14ac:dyDescent="0.3">
      <c r="B8" s="1" t="s">
        <v>10</v>
      </c>
      <c r="C8" s="3"/>
      <c r="D8" s="1">
        <v>3.05</v>
      </c>
      <c r="E8" s="1">
        <v>20</v>
      </c>
      <c r="F8" s="1">
        <f t="shared" si="0"/>
        <v>20</v>
      </c>
      <c r="G8" s="1">
        <f t="shared" si="1"/>
        <v>61</v>
      </c>
      <c r="H8" s="1">
        <f t="shared" si="2"/>
        <v>61</v>
      </c>
      <c r="I8" s="1">
        <f t="shared" si="3"/>
        <v>70</v>
      </c>
      <c r="J8" s="1">
        <f t="shared" si="4"/>
        <v>213.5</v>
      </c>
      <c r="K8" s="3">
        <f>SQRT((I8/2 + I9/2)^2+(J8/2 + I9/2)^2)</f>
        <v>155.75</v>
      </c>
    </row>
    <row r="9" spans="2:11" x14ac:dyDescent="0.3">
      <c r="B9" s="1" t="s">
        <v>11</v>
      </c>
      <c r="C9" s="3"/>
      <c r="D9" s="2"/>
      <c r="E9" s="1">
        <v>19</v>
      </c>
      <c r="F9" s="1">
        <f t="shared" si="0"/>
        <v>19</v>
      </c>
      <c r="G9" s="2"/>
      <c r="H9" s="2"/>
      <c r="I9" s="1">
        <f t="shared" si="3"/>
        <v>66.5</v>
      </c>
      <c r="J9" s="2"/>
      <c r="K9" s="3"/>
    </row>
  </sheetData>
  <mergeCells count="2">
    <mergeCell ref="C3:C9"/>
    <mergeCell ref="K8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 Allouch</dc:creator>
  <cp:lastModifiedBy>Anas Allouch</cp:lastModifiedBy>
  <dcterms:created xsi:type="dcterms:W3CDTF">2025-11-07T10:26:21Z</dcterms:created>
  <dcterms:modified xsi:type="dcterms:W3CDTF">2025-11-08T10:56:57Z</dcterms:modified>
</cp:coreProperties>
</file>