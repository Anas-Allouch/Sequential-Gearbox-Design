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a\OneDrive\Desktop\Gearbox Project\Excel Files\Important\"/>
    </mc:Choice>
  </mc:AlternateContent>
  <xr:revisionPtr revIDLastSave="0" documentId="13_ncr:1_{A0DFA7E0-7EA8-4CF5-8510-4D5577EE5B5F}" xr6:coauthVersionLast="47" xr6:coauthVersionMax="47" xr10:uidLastSave="{00000000-0000-0000-0000-000000000000}"/>
  <bookViews>
    <workbookView xWindow="-108" yWindow="-108" windowWidth="23256" windowHeight="13176" xr2:uid="{7FA18712-D31B-4CC1-9DE6-A38C145BC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1" l="1"/>
  <c r="N31" i="1"/>
  <c r="N32" i="1"/>
  <c r="N33" i="1"/>
  <c r="N34" i="1"/>
  <c r="N30" i="1"/>
  <c r="M34" i="1"/>
  <c r="G29" i="1"/>
  <c r="G30" i="1"/>
  <c r="G31" i="1"/>
  <c r="G32" i="1"/>
  <c r="G34" i="1"/>
  <c r="G33" i="1"/>
  <c r="F33" i="1"/>
  <c r="N18" i="1"/>
  <c r="N19" i="1"/>
  <c r="N20" i="1"/>
  <c r="N21" i="1"/>
  <c r="N22" i="1"/>
  <c r="N17" i="1"/>
  <c r="M20" i="1"/>
  <c r="N5" i="1"/>
  <c r="N7" i="1"/>
  <c r="N8" i="1"/>
  <c r="N9" i="1"/>
  <c r="N10" i="1"/>
  <c r="G17" i="1"/>
  <c r="G18" i="1"/>
  <c r="G20" i="1"/>
  <c r="G21" i="1"/>
  <c r="G22" i="1"/>
  <c r="G19" i="1"/>
  <c r="F19" i="1"/>
  <c r="N6" i="1"/>
  <c r="M6" i="1"/>
  <c r="T11" i="1"/>
  <c r="V10" i="1"/>
  <c r="U10" i="1"/>
  <c r="T10" i="1"/>
  <c r="U9" i="1"/>
  <c r="V9" i="1" s="1"/>
  <c r="T9" i="1"/>
  <c r="U8" i="1"/>
  <c r="V8" i="1" s="1"/>
  <c r="T8" i="1"/>
  <c r="U7" i="1"/>
  <c r="V7" i="1" s="1"/>
  <c r="T7" i="1"/>
  <c r="U6" i="1"/>
  <c r="V6" i="1" s="1"/>
  <c r="T6" i="1"/>
  <c r="U5" i="1"/>
  <c r="V5" i="1" s="1"/>
  <c r="T5" i="1"/>
  <c r="L35" i="1" l="1"/>
  <c r="E35" i="1"/>
  <c r="M35" i="1"/>
  <c r="L34" i="1"/>
  <c r="E34" i="1"/>
  <c r="L33" i="1"/>
  <c r="E33" i="1"/>
  <c r="L32" i="1"/>
  <c r="E32" i="1"/>
  <c r="L31" i="1"/>
  <c r="E31" i="1"/>
  <c r="L30" i="1"/>
  <c r="E30" i="1"/>
  <c r="L29" i="1"/>
  <c r="E29" i="1"/>
  <c r="M28" i="1"/>
  <c r="L28" i="1"/>
  <c r="E28" i="1"/>
  <c r="M23" i="1"/>
  <c r="L23" i="1"/>
  <c r="F23" i="1"/>
  <c r="E23" i="1"/>
  <c r="L22" i="1"/>
  <c r="E22" i="1"/>
  <c r="L21" i="1"/>
  <c r="E21" i="1"/>
  <c r="L20" i="1"/>
  <c r="E20" i="1"/>
  <c r="L19" i="1"/>
  <c r="F16" i="1"/>
  <c r="E19" i="1"/>
  <c r="L18" i="1"/>
  <c r="E18" i="1"/>
  <c r="L17" i="1"/>
  <c r="E17" i="1"/>
  <c r="L16" i="1"/>
  <c r="E16" i="1"/>
  <c r="L11" i="1"/>
  <c r="E11" i="1"/>
  <c r="L10" i="1"/>
  <c r="G10" i="1"/>
  <c r="E10" i="1"/>
  <c r="L9" i="1"/>
  <c r="G9" i="1"/>
  <c r="E9" i="1"/>
  <c r="L8" i="1"/>
  <c r="G8" i="1"/>
  <c r="E8" i="1"/>
  <c r="L7" i="1"/>
  <c r="G7" i="1"/>
  <c r="E7" i="1"/>
  <c r="L6" i="1"/>
  <c r="G6" i="1"/>
  <c r="E6" i="1"/>
  <c r="L5" i="1"/>
  <c r="F5" i="1"/>
  <c r="F4" i="1" s="1"/>
  <c r="E5" i="1"/>
  <c r="M4" i="1"/>
  <c r="L4" i="1"/>
  <c r="E4" i="1"/>
  <c r="N16" i="1" l="1"/>
  <c r="N23" i="1"/>
  <c r="N4" i="1"/>
  <c r="N11" i="1"/>
  <c r="G28" i="1"/>
  <c r="G35" i="1"/>
  <c r="F11" i="1"/>
  <c r="M16" i="1"/>
  <c r="F35" i="1"/>
  <c r="G5" i="1"/>
  <c r="F28" i="1"/>
  <c r="M11" i="1"/>
  <c r="N35" i="1" l="1"/>
  <c r="N28" i="1"/>
  <c r="G16" i="1"/>
  <c r="G23" i="1"/>
  <c r="G11" i="1"/>
  <c r="G4" i="1"/>
</calcChain>
</file>

<file path=xl/sharedStrings.xml><?xml version="1.0" encoding="utf-8"?>
<sst xmlns="http://schemas.openxmlformats.org/spreadsheetml/2006/main" count="105" uniqueCount="21">
  <si>
    <t>Gear 1</t>
  </si>
  <si>
    <t>Components</t>
  </si>
  <si>
    <t>Pitch Diameter
[mm]</t>
  </si>
  <si>
    <t>Position From Bearing A
[mm]</t>
  </si>
  <si>
    <t>Position From Bearing B
[mm]</t>
  </si>
  <si>
    <t>Ft
[N]</t>
  </si>
  <si>
    <t>Fr
[N]</t>
  </si>
  <si>
    <t>Bearing A</t>
  </si>
  <si>
    <t>Reverse gear</t>
  </si>
  <si>
    <t>Gear 2</t>
  </si>
  <si>
    <t>Gear 3</t>
  </si>
  <si>
    <t>Gear 4</t>
  </si>
  <si>
    <t>Gear 5</t>
  </si>
  <si>
    <t>Bearing B</t>
  </si>
  <si>
    <t>Output Reverse Gear</t>
  </si>
  <si>
    <t>Output Gear 1</t>
  </si>
  <si>
    <t>Output Gear 2</t>
  </si>
  <si>
    <t>Output Gear 3</t>
  </si>
  <si>
    <t>Output Gear 4</t>
  </si>
  <si>
    <t>Output Gear 5</t>
  </si>
  <si>
    <t>Fa
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</si>
</sst>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8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2DB9-51D4-4683-B5C7-EF1873152355}">
  <dimension ref="B2:W35"/>
  <sheetViews>
    <sheetView tabSelected="1" zoomScale="91" workbookViewId="0">
      <selection activeCell="P29" sqref="P29"/>
    </sheetView>
  </sheetViews>
  <sheetFormatPr defaultRowHeight="14.4" x14ac:dyDescent="0.3"/>
  <cols>
    <col min="2" max="2" width="11.33203125" bestFit="1" customWidth="1"/>
    <col min="9" max="9" width="11.33203125" bestFit="1" customWidth="1"/>
    <col min="17" max="17" width="12.109375" bestFit="1" customWidth="1"/>
  </cols>
  <sheetData>
    <row r="2" spans="2:23" x14ac:dyDescent="0.3">
      <c r="B2" s="5" t="s">
        <v>14</v>
      </c>
      <c r="C2" s="6"/>
      <c r="D2" s="6"/>
      <c r="E2" s="6"/>
      <c r="F2" s="6"/>
      <c r="G2" s="7"/>
      <c r="I2" s="5" t="s">
        <v>15</v>
      </c>
      <c r="J2" s="6"/>
      <c r="K2" s="6"/>
      <c r="L2" s="6"/>
      <c r="M2" s="6"/>
      <c r="N2" s="7"/>
    </row>
    <row r="3" spans="2:23" ht="57.6" x14ac:dyDescent="0.3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I3" s="1" t="s">
        <v>1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  <c r="Q3" s="1" t="s">
        <v>1</v>
      </c>
      <c r="R3" s="2" t="s">
        <v>2</v>
      </c>
      <c r="S3" s="2" t="s">
        <v>3</v>
      </c>
      <c r="T3" s="2" t="s">
        <v>4</v>
      </c>
      <c r="U3" s="2" t="s">
        <v>5</v>
      </c>
      <c r="V3" s="2" t="s">
        <v>6</v>
      </c>
      <c r="W3" s="2" t="s">
        <v>20</v>
      </c>
    </row>
    <row r="4" spans="2:23" x14ac:dyDescent="0.3">
      <c r="B4" s="1" t="s">
        <v>7</v>
      </c>
      <c r="C4" s="3"/>
      <c r="D4" s="1">
        <v>0</v>
      </c>
      <c r="E4" s="1">
        <f>ABS($D$11-D4)</f>
        <v>327</v>
      </c>
      <c r="F4" s="1">
        <f>(-1)*(1/D11)*((D11-D5)*F5)</f>
        <v>11353.997378768017</v>
      </c>
      <c r="G4" s="1">
        <f>(-1)*(1/D11)*((D11-D5)*G5)</f>
        <v>-4132.5170858080428</v>
      </c>
      <c r="I4" s="1" t="s">
        <v>7</v>
      </c>
      <c r="J4" s="3"/>
      <c r="K4" s="1">
        <v>0</v>
      </c>
      <c r="L4" s="1">
        <f t="shared" ref="L4:L11" si="0">ABS($K$11-K4)</f>
        <v>327</v>
      </c>
      <c r="M4" s="1">
        <f>(-1)*(1/K11)*((K11-K6)*M6)</f>
        <v>-8609.6236659801543</v>
      </c>
      <c r="N4" s="1">
        <f>(-1)*(1/K11)*((K11-K6)*N6)</f>
        <v>3133.6467426506365</v>
      </c>
      <c r="Q4" s="1" t="s">
        <v>13</v>
      </c>
      <c r="R4" s="3"/>
      <c r="S4" s="1">
        <v>0</v>
      </c>
      <c r="T4" s="1">
        <v>327</v>
      </c>
      <c r="U4" s="3"/>
      <c r="V4" s="3"/>
      <c r="W4" s="3"/>
    </row>
    <row r="5" spans="2:23" x14ac:dyDescent="0.3">
      <c r="B5" s="1" t="s">
        <v>8</v>
      </c>
      <c r="C5" s="1">
        <v>70</v>
      </c>
      <c r="D5" s="1">
        <v>38.229999999999997</v>
      </c>
      <c r="E5" s="1">
        <f t="shared" ref="E5:E11" si="1">ABS($D$11-D5)</f>
        <v>288.77</v>
      </c>
      <c r="F5" s="1">
        <f xml:space="preserve"> (2*450)/(C5*0.001)*(-1)</f>
        <v>-12857.142857142855</v>
      </c>
      <c r="G5" s="1">
        <f>ABS(F5*TAN((20*PI())/180))</f>
        <v>4679.6172977083152</v>
      </c>
      <c r="I5" s="1" t="s">
        <v>8</v>
      </c>
      <c r="J5" s="1">
        <v>70</v>
      </c>
      <c r="K5" s="1">
        <v>38.229999999999997</v>
      </c>
      <c r="L5" s="1">
        <f t="shared" si="0"/>
        <v>288.77</v>
      </c>
      <c r="M5" s="1">
        <v>0</v>
      </c>
      <c r="N5" s="1">
        <f t="shared" ref="N5:N10" si="2">ABS(M5*TAN((20*PI())/180))*(-1)</f>
        <v>0</v>
      </c>
      <c r="Q5" s="1" t="s">
        <v>8</v>
      </c>
      <c r="R5" s="1">
        <v>70</v>
      </c>
      <c r="S5" s="1">
        <v>38.229999999999997</v>
      </c>
      <c r="T5" s="1">
        <f t="shared" ref="T5:T11" si="3">ABS($S$11-S5)</f>
        <v>288.77</v>
      </c>
      <c r="U5" s="1">
        <f xml:space="preserve"> (2*450)/(R5*0.001)*(-1)</f>
        <v>-12857.142857142855</v>
      </c>
      <c r="V5" s="1">
        <f>U5*TAN((20*PI())/180)*(-1)</f>
        <v>4679.6172977083152</v>
      </c>
      <c r="W5" s="1">
        <v>0</v>
      </c>
    </row>
    <row r="6" spans="2:23" x14ac:dyDescent="0.3">
      <c r="B6" s="1" t="s">
        <v>0</v>
      </c>
      <c r="C6" s="1">
        <v>73.5</v>
      </c>
      <c r="D6" s="4">
        <v>97.08</v>
      </c>
      <c r="E6" s="1">
        <f t="shared" si="1"/>
        <v>229.92000000000002</v>
      </c>
      <c r="F6" s="1">
        <v>0</v>
      </c>
      <c r="G6" s="1">
        <f t="shared" ref="G6:G10" si="4">F6*TAN((20*PI())/180)</f>
        <v>0</v>
      </c>
      <c r="I6" s="1" t="s">
        <v>0</v>
      </c>
      <c r="J6" s="1">
        <v>73.5</v>
      </c>
      <c r="K6" s="4">
        <v>97.08</v>
      </c>
      <c r="L6" s="1">
        <f t="shared" si="0"/>
        <v>229.92000000000002</v>
      </c>
      <c r="M6" s="1">
        <f xml:space="preserve"> (2*450)/(J6*0.001)</f>
        <v>12244.897959183674</v>
      </c>
      <c r="N6" s="1">
        <f>ABS(M6*TAN((20*PI())/180))*(-1)</f>
        <v>-4456.7783787698245</v>
      </c>
      <c r="Q6" s="1" t="s">
        <v>0</v>
      </c>
      <c r="R6" s="1">
        <v>73.5</v>
      </c>
      <c r="S6" s="4">
        <v>97.08</v>
      </c>
      <c r="T6" s="1">
        <f t="shared" si="3"/>
        <v>229.92000000000002</v>
      </c>
      <c r="U6" s="1">
        <f t="shared" ref="U6:U10" si="5" xml:space="preserve"> (2*450)/(R6*0.001)*(-1)</f>
        <v>-12244.897959183674</v>
      </c>
      <c r="V6" s="1">
        <f t="shared" ref="V6:V10" si="6">U6*TAN((20*PI())/180)*(-1)</f>
        <v>4456.7783787698245</v>
      </c>
      <c r="W6" s="1">
        <v>0</v>
      </c>
    </row>
    <row r="7" spans="2:23" x14ac:dyDescent="0.3">
      <c r="B7" s="1" t="s">
        <v>9</v>
      </c>
      <c r="C7" s="1">
        <v>84</v>
      </c>
      <c r="D7" s="4">
        <v>134</v>
      </c>
      <c r="E7" s="1">
        <f t="shared" si="1"/>
        <v>193</v>
      </c>
      <c r="F7" s="1">
        <v>0</v>
      </c>
      <c r="G7" s="1">
        <f t="shared" si="4"/>
        <v>0</v>
      </c>
      <c r="I7" s="1" t="s">
        <v>9</v>
      </c>
      <c r="J7" s="1">
        <v>84</v>
      </c>
      <c r="K7" s="4">
        <v>134</v>
      </c>
      <c r="L7" s="1">
        <f t="shared" si="0"/>
        <v>193</v>
      </c>
      <c r="M7" s="1">
        <v>0</v>
      </c>
      <c r="N7" s="1">
        <f t="shared" si="2"/>
        <v>0</v>
      </c>
      <c r="Q7" s="1" t="s">
        <v>9</v>
      </c>
      <c r="R7" s="1">
        <v>84</v>
      </c>
      <c r="S7" s="4">
        <v>134</v>
      </c>
      <c r="T7" s="1">
        <f t="shared" si="3"/>
        <v>193</v>
      </c>
      <c r="U7" s="1">
        <f t="shared" si="5"/>
        <v>-10714.285714285714</v>
      </c>
      <c r="V7" s="1">
        <f t="shared" si="6"/>
        <v>3899.6810814235964</v>
      </c>
      <c r="W7" s="1">
        <v>0</v>
      </c>
    </row>
    <row r="8" spans="2:23" x14ac:dyDescent="0.3">
      <c r="B8" s="1" t="s">
        <v>10</v>
      </c>
      <c r="C8" s="1">
        <v>98</v>
      </c>
      <c r="D8" s="4">
        <v>193</v>
      </c>
      <c r="E8" s="1">
        <f t="shared" si="1"/>
        <v>134</v>
      </c>
      <c r="F8" s="1">
        <v>0</v>
      </c>
      <c r="G8" s="1">
        <f t="shared" si="4"/>
        <v>0</v>
      </c>
      <c r="I8" s="1" t="s">
        <v>10</v>
      </c>
      <c r="J8" s="1">
        <v>98</v>
      </c>
      <c r="K8" s="4">
        <v>193</v>
      </c>
      <c r="L8" s="1">
        <f t="shared" si="0"/>
        <v>134</v>
      </c>
      <c r="M8" s="1">
        <v>0</v>
      </c>
      <c r="N8" s="1">
        <f t="shared" si="2"/>
        <v>0</v>
      </c>
      <c r="Q8" s="1" t="s">
        <v>10</v>
      </c>
      <c r="R8" s="1">
        <v>98</v>
      </c>
      <c r="S8" s="4">
        <v>193</v>
      </c>
      <c r="T8" s="1">
        <f t="shared" si="3"/>
        <v>134</v>
      </c>
      <c r="U8" s="1">
        <f t="shared" si="5"/>
        <v>-9183.6734693877552</v>
      </c>
      <c r="V8" s="1">
        <f t="shared" si="6"/>
        <v>3342.5837840773684</v>
      </c>
      <c r="W8" s="1">
        <v>0</v>
      </c>
    </row>
    <row r="9" spans="2:23" x14ac:dyDescent="0.3">
      <c r="B9" s="1" t="s">
        <v>11</v>
      </c>
      <c r="C9" s="1">
        <v>115.5</v>
      </c>
      <c r="D9" s="4">
        <v>229.93</v>
      </c>
      <c r="E9" s="1">
        <f t="shared" si="1"/>
        <v>97.07</v>
      </c>
      <c r="F9" s="1">
        <v>0</v>
      </c>
      <c r="G9" s="1">
        <f t="shared" si="4"/>
        <v>0</v>
      </c>
      <c r="I9" s="1" t="s">
        <v>11</v>
      </c>
      <c r="J9" s="1">
        <v>115.5</v>
      </c>
      <c r="K9" s="4">
        <v>229.93</v>
      </c>
      <c r="L9" s="1">
        <f t="shared" si="0"/>
        <v>97.07</v>
      </c>
      <c r="M9" s="1">
        <v>0</v>
      </c>
      <c r="N9" s="1">
        <f t="shared" si="2"/>
        <v>0</v>
      </c>
      <c r="Q9" s="1" t="s">
        <v>11</v>
      </c>
      <c r="R9" s="1">
        <v>115.5</v>
      </c>
      <c r="S9" s="4">
        <v>229.93</v>
      </c>
      <c r="T9" s="1">
        <f t="shared" si="3"/>
        <v>97.07</v>
      </c>
      <c r="U9" s="1">
        <f t="shared" si="5"/>
        <v>-7792.2077922077915</v>
      </c>
      <c r="V9" s="1">
        <f t="shared" si="6"/>
        <v>2836.131695580797</v>
      </c>
      <c r="W9" s="1">
        <v>0</v>
      </c>
    </row>
    <row r="10" spans="2:23" x14ac:dyDescent="0.3">
      <c r="B10" s="1" t="s">
        <v>12</v>
      </c>
      <c r="C10" s="1">
        <v>143.5</v>
      </c>
      <c r="D10" s="4">
        <v>288.77999999999997</v>
      </c>
      <c r="E10" s="1">
        <f t="shared" si="1"/>
        <v>38.220000000000027</v>
      </c>
      <c r="F10" s="1">
        <v>0</v>
      </c>
      <c r="G10" s="1">
        <f t="shared" si="4"/>
        <v>0</v>
      </c>
      <c r="I10" s="1" t="s">
        <v>12</v>
      </c>
      <c r="J10" s="1">
        <v>143.5</v>
      </c>
      <c r="K10" s="4">
        <v>288.77999999999997</v>
      </c>
      <c r="L10" s="1">
        <f t="shared" si="0"/>
        <v>38.220000000000027</v>
      </c>
      <c r="M10" s="1">
        <v>0</v>
      </c>
      <c r="N10" s="1">
        <f t="shared" si="2"/>
        <v>0</v>
      </c>
      <c r="Q10" s="1" t="s">
        <v>12</v>
      </c>
      <c r="R10" s="1">
        <v>143.5</v>
      </c>
      <c r="S10" s="4">
        <v>288.77999999999997</v>
      </c>
      <c r="T10" s="1">
        <f t="shared" si="3"/>
        <v>38.220000000000027</v>
      </c>
      <c r="U10" s="1">
        <f t="shared" si="5"/>
        <v>-6271.7770034843197</v>
      </c>
      <c r="V10" s="1">
        <f t="shared" si="6"/>
        <v>2282.7401452235686</v>
      </c>
      <c r="W10" s="1">
        <v>0</v>
      </c>
    </row>
    <row r="11" spans="2:23" x14ac:dyDescent="0.3">
      <c r="B11" s="1" t="s">
        <v>13</v>
      </c>
      <c r="C11" s="3"/>
      <c r="D11" s="1">
        <v>327</v>
      </c>
      <c r="E11" s="1">
        <f t="shared" si="1"/>
        <v>0</v>
      </c>
      <c r="F11" s="1">
        <f>(-1)*(1/D11)*(D5*F5)</f>
        <v>1503.1454783748359</v>
      </c>
      <c r="G11" s="1">
        <f>(-1)*(1/D11)*(D5*G5)</f>
        <v>-547.1002119002718</v>
      </c>
      <c r="I11" s="1" t="s">
        <v>13</v>
      </c>
      <c r="J11" s="3"/>
      <c r="K11" s="1">
        <v>327</v>
      </c>
      <c r="L11" s="1">
        <f t="shared" si="0"/>
        <v>0</v>
      </c>
      <c r="M11" s="1">
        <f>(-1)*(1/K11)*(K6*M6)</f>
        <v>-3635.2742932035198</v>
      </c>
      <c r="N11" s="1">
        <f>(-1)*(1/K11)*(K6*N6)</f>
        <v>1323.1316361191882</v>
      </c>
      <c r="Q11" s="1" t="s">
        <v>13</v>
      </c>
      <c r="R11" s="3"/>
      <c r="S11" s="1">
        <v>327</v>
      </c>
      <c r="T11" s="1">
        <f t="shared" si="3"/>
        <v>0</v>
      </c>
      <c r="U11" s="3"/>
      <c r="V11" s="3"/>
      <c r="W11" s="3"/>
    </row>
    <row r="14" spans="2:23" x14ac:dyDescent="0.3">
      <c r="B14" s="5" t="s">
        <v>16</v>
      </c>
      <c r="C14" s="6"/>
      <c r="D14" s="6"/>
      <c r="E14" s="6"/>
      <c r="F14" s="6"/>
      <c r="G14" s="7"/>
      <c r="I14" s="5" t="s">
        <v>17</v>
      </c>
      <c r="J14" s="6"/>
      <c r="K14" s="6"/>
      <c r="L14" s="6"/>
      <c r="M14" s="6"/>
      <c r="N14" s="7"/>
    </row>
    <row r="15" spans="2:23" ht="57.6" x14ac:dyDescent="0.3">
      <c r="B15" s="1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I15" s="1" t="s">
        <v>1</v>
      </c>
      <c r="J15" s="2" t="s">
        <v>2</v>
      </c>
      <c r="K15" s="2" t="s">
        <v>3</v>
      </c>
      <c r="L15" s="2" t="s">
        <v>4</v>
      </c>
      <c r="M15" s="2" t="s">
        <v>5</v>
      </c>
      <c r="N15" s="2" t="s">
        <v>6</v>
      </c>
    </row>
    <row r="16" spans="2:23" x14ac:dyDescent="0.3">
      <c r="B16" s="1" t="s">
        <v>7</v>
      </c>
      <c r="C16" s="3"/>
      <c r="D16" s="1">
        <v>0</v>
      </c>
      <c r="E16" s="1">
        <f t="shared" ref="E16:E23" si="7">ABS($D$23-D16)</f>
        <v>327</v>
      </c>
      <c r="F16" s="1">
        <f>(-1)*(1/D23)*((D23-D19)*F19)</f>
        <v>-6323.7221494102223</v>
      </c>
      <c r="G16" s="1">
        <f>(-1)*(1/D23)*((D23-D19)*G19)</f>
        <v>2301.6466321552111</v>
      </c>
      <c r="I16" s="1" t="s">
        <v>7</v>
      </c>
      <c r="J16" s="3"/>
      <c r="K16" s="1">
        <v>0</v>
      </c>
      <c r="L16" s="1">
        <f t="shared" ref="L16:L23" si="8">ABS($K$23-K16)</f>
        <v>327</v>
      </c>
      <c r="M16" s="1">
        <f>(-1)*(1/K23)*((K23-K20)*M20)</f>
        <v>-3763.3401984647076</v>
      </c>
      <c r="N16" s="1">
        <f>(-1)*(1/K23)*((K23-K20)*N20)</f>
        <v>1369.7438136586156</v>
      </c>
    </row>
    <row r="17" spans="2:14" x14ac:dyDescent="0.3">
      <c r="B17" s="1" t="s">
        <v>8</v>
      </c>
      <c r="C17" s="1">
        <v>70</v>
      </c>
      <c r="D17" s="1">
        <v>38.229999999999997</v>
      </c>
      <c r="E17" s="1">
        <f t="shared" si="7"/>
        <v>288.77</v>
      </c>
      <c r="F17" s="1">
        <v>0</v>
      </c>
      <c r="G17" s="1">
        <f t="shared" ref="G17:G18" si="9">ABS(F17*TAN((20*PI())/180))*(-1)</f>
        <v>0</v>
      </c>
      <c r="I17" s="1" t="s">
        <v>8</v>
      </c>
      <c r="J17" s="1">
        <v>70</v>
      </c>
      <c r="K17" s="1">
        <v>38.229999999999997</v>
      </c>
      <c r="L17" s="1">
        <f t="shared" si="8"/>
        <v>288.77</v>
      </c>
      <c r="M17" s="1">
        <v>0</v>
      </c>
      <c r="N17" s="1">
        <f>ABS(M17*TAN((20*PI())/180))*(-1)</f>
        <v>0</v>
      </c>
    </row>
    <row r="18" spans="2:14" x14ac:dyDescent="0.3">
      <c r="B18" s="1" t="s">
        <v>0</v>
      </c>
      <c r="C18" s="1">
        <v>73.5</v>
      </c>
      <c r="D18" s="4">
        <v>97.08</v>
      </c>
      <c r="E18" s="1">
        <f t="shared" si="7"/>
        <v>229.92000000000002</v>
      </c>
      <c r="F18" s="1">
        <v>0</v>
      </c>
      <c r="G18" s="1">
        <f t="shared" si="9"/>
        <v>0</v>
      </c>
      <c r="I18" s="1" t="s">
        <v>0</v>
      </c>
      <c r="J18" s="1">
        <v>73.5</v>
      </c>
      <c r="K18" s="4">
        <v>97.08</v>
      </c>
      <c r="L18" s="1">
        <f t="shared" si="8"/>
        <v>229.92000000000002</v>
      </c>
      <c r="M18" s="1">
        <v>0</v>
      </c>
      <c r="N18" s="1">
        <f t="shared" ref="N18:N22" si="10">ABS(M18*TAN((20*PI())/180))*(-1)</f>
        <v>0</v>
      </c>
    </row>
    <row r="19" spans="2:14" x14ac:dyDescent="0.3">
      <c r="B19" s="1" t="s">
        <v>9</v>
      </c>
      <c r="C19" s="1">
        <v>84</v>
      </c>
      <c r="D19" s="4">
        <v>134</v>
      </c>
      <c r="E19" s="1">
        <f t="shared" si="7"/>
        <v>193</v>
      </c>
      <c r="F19" s="1">
        <f xml:space="preserve"> (2*450)/(C19*0.001)</f>
        <v>10714.285714285714</v>
      </c>
      <c r="G19" s="1">
        <f>ABS(F19*TAN((20*PI())/180))*(-1)</f>
        <v>-3899.6810814235964</v>
      </c>
      <c r="I19" s="1" t="s">
        <v>9</v>
      </c>
      <c r="J19" s="1">
        <v>84</v>
      </c>
      <c r="K19" s="4">
        <v>134</v>
      </c>
      <c r="L19" s="1">
        <f t="shared" si="8"/>
        <v>193</v>
      </c>
      <c r="M19" s="1">
        <v>0</v>
      </c>
      <c r="N19" s="1">
        <f t="shared" si="10"/>
        <v>0</v>
      </c>
    </row>
    <row r="20" spans="2:14" x14ac:dyDescent="0.3">
      <c r="B20" s="1" t="s">
        <v>10</v>
      </c>
      <c r="C20" s="1">
        <v>98</v>
      </c>
      <c r="D20" s="4">
        <v>193</v>
      </c>
      <c r="E20" s="1">
        <f t="shared" si="7"/>
        <v>134</v>
      </c>
      <c r="F20" s="1">
        <v>0</v>
      </c>
      <c r="G20" s="1">
        <f t="shared" ref="G20:G22" si="11">ABS(F20*TAN((20*PI())/180))*(-1)</f>
        <v>0</v>
      </c>
      <c r="I20" s="1" t="s">
        <v>10</v>
      </c>
      <c r="J20" s="1">
        <v>98</v>
      </c>
      <c r="K20" s="4">
        <v>193</v>
      </c>
      <c r="L20" s="1">
        <f t="shared" si="8"/>
        <v>134</v>
      </c>
      <c r="M20" s="1">
        <f xml:space="preserve"> (2*450)/(J20*0.001)</f>
        <v>9183.6734693877552</v>
      </c>
      <c r="N20" s="1">
        <f t="shared" si="10"/>
        <v>-3342.5837840773684</v>
      </c>
    </row>
    <row r="21" spans="2:14" x14ac:dyDescent="0.3">
      <c r="B21" s="1" t="s">
        <v>11</v>
      </c>
      <c r="C21" s="1">
        <v>115.5</v>
      </c>
      <c r="D21" s="4">
        <v>229.93</v>
      </c>
      <c r="E21" s="1">
        <f t="shared" si="7"/>
        <v>97.07</v>
      </c>
      <c r="F21" s="1">
        <v>0</v>
      </c>
      <c r="G21" s="1">
        <f t="shared" si="11"/>
        <v>0</v>
      </c>
      <c r="I21" s="1" t="s">
        <v>11</v>
      </c>
      <c r="J21" s="1">
        <v>115.5</v>
      </c>
      <c r="K21" s="4">
        <v>229.93</v>
      </c>
      <c r="L21" s="1">
        <f t="shared" si="8"/>
        <v>97.07</v>
      </c>
      <c r="M21" s="1">
        <v>0</v>
      </c>
      <c r="N21" s="1">
        <f t="shared" si="10"/>
        <v>0</v>
      </c>
    </row>
    <row r="22" spans="2:14" x14ac:dyDescent="0.3">
      <c r="B22" s="1" t="s">
        <v>12</v>
      </c>
      <c r="C22" s="1">
        <v>143.5</v>
      </c>
      <c r="D22" s="4">
        <v>288.77999999999997</v>
      </c>
      <c r="E22" s="1">
        <f t="shared" si="7"/>
        <v>38.220000000000027</v>
      </c>
      <c r="F22" s="1">
        <v>0</v>
      </c>
      <c r="G22" s="1">
        <f t="shared" si="11"/>
        <v>0</v>
      </c>
      <c r="I22" s="1" t="s">
        <v>12</v>
      </c>
      <c r="J22" s="1">
        <v>143.5</v>
      </c>
      <c r="K22" s="4">
        <v>288.77999999999997</v>
      </c>
      <c r="L22" s="1">
        <f t="shared" si="8"/>
        <v>38.220000000000027</v>
      </c>
      <c r="M22" s="1">
        <v>0</v>
      </c>
      <c r="N22" s="1">
        <f t="shared" si="10"/>
        <v>0</v>
      </c>
    </row>
    <row r="23" spans="2:14" x14ac:dyDescent="0.3">
      <c r="B23" s="1" t="s">
        <v>13</v>
      </c>
      <c r="C23" s="3"/>
      <c r="D23" s="1">
        <v>327</v>
      </c>
      <c r="E23" s="1">
        <f t="shared" si="7"/>
        <v>0</v>
      </c>
      <c r="F23" s="1">
        <f>(-1)*(1/D23)*(D19*F19)</f>
        <v>-4390.5635648754915</v>
      </c>
      <c r="G23" s="1">
        <f>(-1)*(1/D23)*(D19*G19)</f>
        <v>1598.0344492683851</v>
      </c>
      <c r="I23" s="1" t="s">
        <v>13</v>
      </c>
      <c r="J23" s="3"/>
      <c r="K23" s="1">
        <v>327</v>
      </c>
      <c r="L23" s="1">
        <f t="shared" si="8"/>
        <v>0</v>
      </c>
      <c r="M23" s="1">
        <f>(-1)*(1/K23)*(K20*M20)</f>
        <v>-5420.3332709230481</v>
      </c>
      <c r="N23" s="1">
        <f>(-1)*(1/K23)*(K20*N20)</f>
        <v>1972.8399704187527</v>
      </c>
    </row>
    <row r="26" spans="2:14" x14ac:dyDescent="0.3">
      <c r="B26" s="5" t="s">
        <v>18</v>
      </c>
      <c r="C26" s="6"/>
      <c r="D26" s="6"/>
      <c r="E26" s="6"/>
      <c r="F26" s="6"/>
      <c r="G26" s="7"/>
      <c r="I26" s="5" t="s">
        <v>19</v>
      </c>
      <c r="J26" s="6"/>
      <c r="K26" s="6"/>
      <c r="L26" s="6"/>
      <c r="M26" s="6"/>
      <c r="N26" s="7"/>
    </row>
    <row r="27" spans="2:14" ht="57.6" x14ac:dyDescent="0.3">
      <c r="B27" s="1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I27" s="1" t="s">
        <v>1</v>
      </c>
      <c r="J27" s="2" t="s">
        <v>2</v>
      </c>
      <c r="K27" s="2" t="s">
        <v>3</v>
      </c>
      <c r="L27" s="2" t="s">
        <v>4</v>
      </c>
      <c r="M27" s="2" t="s">
        <v>5</v>
      </c>
      <c r="N27" s="2" t="s">
        <v>6</v>
      </c>
    </row>
    <row r="28" spans="2:14" x14ac:dyDescent="0.3">
      <c r="B28" s="1" t="s">
        <v>7</v>
      </c>
      <c r="C28" s="3"/>
      <c r="D28" s="1">
        <v>0</v>
      </c>
      <c r="E28" s="1">
        <f t="shared" ref="E28:E35" si="12">ABS($D$35-D28)</f>
        <v>327</v>
      </c>
      <c r="F28" s="1">
        <f>(-1)*(1/D35)*((D35-D33)*F33)</f>
        <v>-2313.1180745859642</v>
      </c>
      <c r="G28" s="1">
        <f>(-1)*(1/D35)*((D35-D33)*G33)</f>
        <v>841.90612749244031</v>
      </c>
      <c r="I28" s="1" t="s">
        <v>7</v>
      </c>
      <c r="J28" s="3"/>
      <c r="K28" s="1">
        <v>0</v>
      </c>
      <c r="L28" s="1">
        <f t="shared" ref="L28:L35" si="13">ABS($K$35-K28)</f>
        <v>327</v>
      </c>
      <c r="M28" s="1">
        <f>(-1)*(1/K35)*((K35-K34)*M34)</f>
        <v>-733.04989930633303</v>
      </c>
      <c r="N28" s="1">
        <f>(-1)*(1/K35)*((K35-K34)*N34)</f>
        <v>266.80834357934202</v>
      </c>
    </row>
    <row r="29" spans="2:14" x14ac:dyDescent="0.3">
      <c r="B29" s="1" t="s">
        <v>8</v>
      </c>
      <c r="C29" s="1">
        <v>70</v>
      </c>
      <c r="D29" s="1">
        <v>38.229999999999997</v>
      </c>
      <c r="E29" s="1">
        <f t="shared" si="12"/>
        <v>288.77</v>
      </c>
      <c r="F29" s="1">
        <v>0</v>
      </c>
      <c r="G29" s="1">
        <f t="shared" ref="G29:G32" si="14">ABS(F29*TAN((20*PI())/180))*(-1)</f>
        <v>0</v>
      </c>
      <c r="I29" s="1" t="s">
        <v>8</v>
      </c>
      <c r="J29" s="1">
        <v>70</v>
      </c>
      <c r="K29" s="1">
        <v>38.229999999999997</v>
      </c>
      <c r="L29" s="1">
        <f t="shared" si="13"/>
        <v>288.77</v>
      </c>
      <c r="M29" s="1">
        <v>0</v>
      </c>
      <c r="N29" s="1">
        <f t="shared" ref="N29:N34" si="15">M29*TAN((20*PI())/180)*(-1)</f>
        <v>0</v>
      </c>
    </row>
    <row r="30" spans="2:14" x14ac:dyDescent="0.3">
      <c r="B30" s="1" t="s">
        <v>0</v>
      </c>
      <c r="C30" s="1">
        <v>73.5</v>
      </c>
      <c r="D30" s="4">
        <v>97.08</v>
      </c>
      <c r="E30" s="1">
        <f t="shared" si="12"/>
        <v>229.92000000000002</v>
      </c>
      <c r="F30" s="1">
        <v>0</v>
      </c>
      <c r="G30" s="1">
        <f t="shared" si="14"/>
        <v>0</v>
      </c>
      <c r="I30" s="1" t="s">
        <v>0</v>
      </c>
      <c r="J30" s="1">
        <v>73.5</v>
      </c>
      <c r="K30" s="4">
        <v>97.08</v>
      </c>
      <c r="L30" s="1">
        <f t="shared" si="13"/>
        <v>229.92000000000002</v>
      </c>
      <c r="M30" s="1">
        <v>0</v>
      </c>
      <c r="N30" s="1">
        <f>M30*TAN((20*PI())/180)*(-1)</f>
        <v>0</v>
      </c>
    </row>
    <row r="31" spans="2:14" x14ac:dyDescent="0.3">
      <c r="B31" s="1" t="s">
        <v>9</v>
      </c>
      <c r="C31" s="1">
        <v>84</v>
      </c>
      <c r="D31" s="4">
        <v>134</v>
      </c>
      <c r="E31" s="1">
        <f t="shared" si="12"/>
        <v>193</v>
      </c>
      <c r="F31" s="1">
        <v>0</v>
      </c>
      <c r="G31" s="1">
        <f t="shared" si="14"/>
        <v>0</v>
      </c>
      <c r="I31" s="1" t="s">
        <v>9</v>
      </c>
      <c r="J31" s="1">
        <v>84</v>
      </c>
      <c r="K31" s="4">
        <v>134</v>
      </c>
      <c r="L31" s="1">
        <f t="shared" si="13"/>
        <v>193</v>
      </c>
      <c r="M31" s="1">
        <v>0</v>
      </c>
      <c r="N31" s="1">
        <f t="shared" si="15"/>
        <v>0</v>
      </c>
    </row>
    <row r="32" spans="2:14" x14ac:dyDescent="0.3">
      <c r="B32" s="1" t="s">
        <v>10</v>
      </c>
      <c r="C32" s="1">
        <v>98</v>
      </c>
      <c r="D32" s="4">
        <v>193</v>
      </c>
      <c r="E32" s="1">
        <f t="shared" si="12"/>
        <v>134</v>
      </c>
      <c r="F32" s="1">
        <v>0</v>
      </c>
      <c r="G32" s="1">
        <f t="shared" si="14"/>
        <v>0</v>
      </c>
      <c r="I32" s="1" t="s">
        <v>10</v>
      </c>
      <c r="J32" s="1">
        <v>98</v>
      </c>
      <c r="K32" s="4">
        <v>193</v>
      </c>
      <c r="L32" s="1">
        <f t="shared" si="13"/>
        <v>134</v>
      </c>
      <c r="M32" s="1">
        <v>0</v>
      </c>
      <c r="N32" s="1">
        <f t="shared" si="15"/>
        <v>0</v>
      </c>
    </row>
    <row r="33" spans="2:14" x14ac:dyDescent="0.3">
      <c r="B33" s="1" t="s">
        <v>11</v>
      </c>
      <c r="C33" s="1">
        <v>115.5</v>
      </c>
      <c r="D33" s="4">
        <v>229.93</v>
      </c>
      <c r="E33" s="1">
        <f t="shared" si="12"/>
        <v>97.07</v>
      </c>
      <c r="F33" s="1">
        <f xml:space="preserve"> (2*450)/(C33*0.001)</f>
        <v>7792.2077922077915</v>
      </c>
      <c r="G33" s="1">
        <f>ABS(F33*TAN((20*PI())/180))*(-1)</f>
        <v>-2836.131695580797</v>
      </c>
      <c r="I33" s="1" t="s">
        <v>11</v>
      </c>
      <c r="J33" s="1">
        <v>115.5</v>
      </c>
      <c r="K33" s="4">
        <v>229.93</v>
      </c>
      <c r="L33" s="1">
        <f t="shared" si="13"/>
        <v>97.07</v>
      </c>
      <c r="M33" s="1">
        <v>0</v>
      </c>
      <c r="N33" s="1">
        <f t="shared" si="15"/>
        <v>0</v>
      </c>
    </row>
    <row r="34" spans="2:14" x14ac:dyDescent="0.3">
      <c r="B34" s="1" t="s">
        <v>12</v>
      </c>
      <c r="C34" s="1">
        <v>143.5</v>
      </c>
      <c r="D34" s="4">
        <v>288.77999999999997</v>
      </c>
      <c r="E34" s="1">
        <f t="shared" si="12"/>
        <v>38.220000000000027</v>
      </c>
      <c r="F34" s="1">
        <v>0</v>
      </c>
      <c r="G34" s="1">
        <f>ABS(F34*TAN((20*PI())/180))*(-1)</f>
        <v>0</v>
      </c>
      <c r="I34" s="1" t="s">
        <v>12</v>
      </c>
      <c r="J34" s="1">
        <v>143.5</v>
      </c>
      <c r="K34" s="4">
        <v>288.77999999999997</v>
      </c>
      <c r="L34" s="1">
        <f>ABS($K$35-K34)</f>
        <v>38.220000000000027</v>
      </c>
      <c r="M34" s="1">
        <f xml:space="preserve"> (2*450)/(J34*0.001)</f>
        <v>6271.7770034843197</v>
      </c>
      <c r="N34" s="1">
        <f t="shared" si="15"/>
        <v>-2282.7401452235686</v>
      </c>
    </row>
    <row r="35" spans="2:14" x14ac:dyDescent="0.3">
      <c r="B35" s="1" t="s">
        <v>13</v>
      </c>
      <c r="C35" s="3"/>
      <c r="D35" s="1">
        <v>327</v>
      </c>
      <c r="E35" s="1">
        <f t="shared" si="12"/>
        <v>0</v>
      </c>
      <c r="F35" s="1">
        <f>(-1)*(1/D35)*(D33*F33)</f>
        <v>-5479.0897176218277</v>
      </c>
      <c r="G35" s="1">
        <f>(-1)*(1/D35)*(D33*G33)</f>
        <v>1994.2255680883568</v>
      </c>
      <c r="I35" s="1" t="s">
        <v>13</v>
      </c>
      <c r="J35" s="3"/>
      <c r="K35" s="1">
        <v>327</v>
      </c>
      <c r="L35" s="1">
        <f t="shared" si="13"/>
        <v>0</v>
      </c>
      <c r="M35" s="1">
        <f>(-1)*(1/K35)*(K34*M34)</f>
        <v>-5538.7271041779868</v>
      </c>
      <c r="N35" s="1">
        <f>(-1)*(1/K35)*(K34*N34)</f>
        <v>2015.9318016442264</v>
      </c>
    </row>
  </sheetData>
  <mergeCells count="6">
    <mergeCell ref="B2:G2"/>
    <mergeCell ref="I2:N2"/>
    <mergeCell ref="B14:G14"/>
    <mergeCell ref="I14:N14"/>
    <mergeCell ref="B26:G26"/>
    <mergeCell ref="I26:N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Allouch</dc:creator>
  <cp:lastModifiedBy>Anas Allouch</cp:lastModifiedBy>
  <dcterms:created xsi:type="dcterms:W3CDTF">2025-11-07T09:51:15Z</dcterms:created>
  <dcterms:modified xsi:type="dcterms:W3CDTF">2025-11-08T23:06:42Z</dcterms:modified>
</cp:coreProperties>
</file>